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0_README" sheetId="1" state="visible" r:id="rId1"/>
    <sheet xmlns:r="http://schemas.openxmlformats.org/officeDocument/2006/relationships" name="1_Cost_Job" sheetId="2" state="visible" r:id="rId2"/>
    <sheet xmlns:r="http://schemas.openxmlformats.org/officeDocument/2006/relationships" name="2_Pricing" sheetId="3" state="visible" r:id="rId3"/>
    <sheet xmlns:r="http://schemas.openxmlformats.org/officeDocument/2006/relationships" name="3_Value_Metric" sheetId="4" state="visible" r:id="rId4"/>
    <sheet xmlns:r="http://schemas.openxmlformats.org/officeDocument/2006/relationships" name="4_Channel_Fit" sheetId="5" state="visible" r:id="rId5"/>
    <sheet xmlns:r="http://schemas.openxmlformats.org/officeDocument/2006/relationships" name="5_90Day_Plan" sheetId="6" state="visible" r:id="rId6"/>
    <sheet xmlns:r="http://schemas.openxmlformats.org/officeDocument/2006/relationships" name="6_Benchmarks" sheetId="7" state="visible" r:id="rId7"/>
  </sheets>
  <definedNames/>
  <calcPr calcId="124519" fullCalcOnLoad="1"/>
</workbook>
</file>

<file path=xl/styles.xml><?xml version="1.0" encoding="utf-8"?>
<styleSheet xmlns="http://schemas.openxmlformats.org/spreadsheetml/2006/main">
  <numFmts count="7">
    <numFmt numFmtId="164" formatCode="0.0%"/>
    <numFmt numFmtId="165" formatCode="\$#,##0.0000"/>
    <numFmt numFmtId="166" formatCode="#,##0.0"/>
    <numFmt numFmtId="167" formatCode="\$#,##0.00"/>
    <numFmt numFmtId="168" formatCode="\$#,##0"/>
    <numFmt numFmtId="169" formatCode="#,##0.0\×"/>
    <numFmt numFmtId="170" formatCode="#,##0&quot; ₫&quot;"/>
  </numFmts>
  <fonts count="11">
    <font>
      <name val="Calibri"/>
      <color theme="1"/>
      <sz val="11"/>
      <scheme val="minor"/>
    </font>
    <font>
      <name val="Arial"/>
      <b val="1"/>
      <color rgb="FFFFFFFF"/>
      <sz val="14"/>
    </font>
    <font>
      <name val="Calibri"/>
      <color theme="1"/>
      <sz val="11"/>
    </font>
    <font>
      <name val="Arial"/>
      <i val="1"/>
      <color rgb="FF666666"/>
      <sz val="9"/>
    </font>
    <font>
      <name val="Arial"/>
      <b val="1"/>
      <color rgb="FF1F2937"/>
      <sz val="11"/>
    </font>
    <font>
      <name val="Arial"/>
      <color rgb="FF0000FF"/>
      <sz val="10"/>
    </font>
    <font>
      <name val="Arial"/>
      <color theme="1"/>
      <sz val="10"/>
    </font>
    <font>
      <name val="Arial"/>
      <color rgb="FF008000"/>
      <sz val="10"/>
    </font>
    <font>
      <name val="Arial"/>
      <b val="1"/>
      <color theme="1"/>
      <sz val="10"/>
    </font>
    <font>
      <name val="Arial"/>
      <b val="1"/>
      <color rgb="FFC00000"/>
      <sz val="11"/>
    </font>
    <font>
      <name val="Arial"/>
      <b val="1"/>
      <color rgb="FFFFFFFF"/>
      <sz val="10"/>
    </font>
  </fonts>
  <fills count="7">
    <fill>
      <patternFill/>
    </fill>
    <fill>
      <patternFill patternType="lightGray"/>
    </fill>
    <fill>
      <patternFill patternType="solid">
        <fgColor rgb="FF1F2937"/>
        <bgColor rgb="FF1F2937"/>
      </patternFill>
    </fill>
    <fill>
      <patternFill patternType="solid">
        <fgColor rgb="FFFFF2CC"/>
        <bgColor rgb="FFFFF2CC"/>
      </patternFill>
    </fill>
    <fill>
      <patternFill patternType="solid">
        <fgColor rgb="FFE8EAF6"/>
        <bgColor rgb="FFE8EAF6"/>
      </patternFill>
    </fill>
    <fill>
      <patternFill patternType="solid">
        <fgColor rgb="FFF2F2F2"/>
        <bgColor rgb="FFF2F2F2"/>
      </patternFill>
    </fill>
    <fill>
      <patternFill patternType="solid">
        <fgColor rgb="FFEDEDED"/>
        <bgColor rgb="FFEDEDED"/>
      </patternFill>
    </fill>
  </fills>
  <borders count="3">
    <border/>
    <border>
      <left/>
      <right/>
      <top/>
      <bottom/>
    </border>
    <border>
      <left style="thin">
        <color rgb="FFD0D0D0"/>
      </left>
      <right style="thin">
        <color rgb="FFD0D0D0"/>
      </right>
      <top style="thin">
        <color rgb="FFD0D0D0"/>
      </top>
      <bottom style="thin">
        <color rgb="FFD0D0D0"/>
      </bottom>
    </border>
  </borders>
  <cellStyleXfs count="1">
    <xf numFmtId="0" fontId="0" fillId="0" borderId="0"/>
  </cellStyleXfs>
  <cellXfs count="46">
    <xf numFmtId="0" fontId="0" fillId="0" borderId="0" applyAlignment="1" pivotButton="0" quotePrefix="0" xfId="0">
      <alignment vertical="bottom"/>
    </xf>
    <xf numFmtId="0" fontId="1" fillId="2" borderId="1" applyAlignment="1" pivotButton="0" quotePrefix="0" xfId="0">
      <alignment vertical="bottom"/>
    </xf>
    <xf numFmtId="0" fontId="2" fillId="2" borderId="1" applyAlignment="1" pivotButton="0" quotePrefix="0" xfId="0">
      <alignment vertical="bottom"/>
    </xf>
    <xf numFmtId="0" fontId="3" fillId="0" borderId="0" applyAlignment="1" pivotButton="0" quotePrefix="0" xfId="0">
      <alignment vertical="bottom"/>
    </xf>
    <xf numFmtId="0" fontId="4" fillId="0" borderId="0" applyAlignment="1" pivotButton="0" quotePrefix="0" xfId="0">
      <alignment vertical="bottom"/>
    </xf>
    <xf numFmtId="0" fontId="5" fillId="3" borderId="2" applyAlignment="1" pivotButton="0" quotePrefix="0" xfId="0">
      <alignment vertical="bottom"/>
    </xf>
    <xf numFmtId="0" fontId="6" fillId="0" borderId="0" applyAlignment="1" pivotButton="0" quotePrefix="0" xfId="0">
      <alignment vertical="bottom"/>
    </xf>
    <xf numFmtId="0" fontId="4" fillId="4" borderId="1" applyAlignment="1" pivotButton="0" quotePrefix="0" xfId="0">
      <alignment vertical="bottom"/>
    </xf>
    <xf numFmtId="0" fontId="6" fillId="5" borderId="2" applyAlignment="1" pivotButton="0" quotePrefix="0" xfId="0">
      <alignment vertical="bottom"/>
    </xf>
    <xf numFmtId="0" fontId="7" fillId="0" borderId="2" applyAlignment="1" pivotButton="0" quotePrefix="0" xfId="0">
      <alignment vertical="bottom"/>
    </xf>
    <xf numFmtId="0" fontId="2" fillId="4" borderId="1" applyAlignment="1" pivotButton="0" quotePrefix="0" xfId="0">
      <alignment vertical="bottom"/>
    </xf>
    <xf numFmtId="0" fontId="6" fillId="6" borderId="2" applyAlignment="1" pivotButton="0" quotePrefix="0" xfId="0">
      <alignment vertical="bottom"/>
    </xf>
    <xf numFmtId="0" fontId="8" fillId="0" borderId="0" applyAlignment="1" pivotButton="0" quotePrefix="0" xfId="0">
      <alignment vertical="bottom"/>
    </xf>
    <xf numFmtId="0" fontId="5" fillId="3" borderId="2" applyAlignment="1" pivotButton="0" quotePrefix="0" xfId="0">
      <alignment horizontal="center" vertical="bottom"/>
    </xf>
    <xf numFmtId="0" fontId="6" fillId="0" borderId="0" applyAlignment="1" pivotButton="0" quotePrefix="0" xfId="0">
      <alignment vertical="bottom"/>
    </xf>
    <xf numFmtId="3" fontId="5" fillId="3" borderId="2" applyAlignment="1" pivotButton="0" quotePrefix="0" xfId="0">
      <alignment vertical="bottom"/>
    </xf>
    <xf numFmtId="164" fontId="5" fillId="3" borderId="2" applyAlignment="1" pivotButton="0" quotePrefix="0" xfId="0">
      <alignment vertical="bottom"/>
    </xf>
    <xf numFmtId="0" fontId="3" fillId="0" borderId="0" applyAlignment="1" pivotButton="0" quotePrefix="0" xfId="0">
      <alignment vertical="bottom"/>
    </xf>
    <xf numFmtId="3" fontId="9" fillId="5" borderId="2" applyAlignment="1" pivotButton="0" quotePrefix="0" xfId="0">
      <alignment vertical="bottom"/>
    </xf>
    <xf numFmtId="3" fontId="6" fillId="5" borderId="2" applyAlignment="1" pivotButton="0" quotePrefix="0" xfId="0">
      <alignment vertical="bottom"/>
    </xf>
    <xf numFmtId="165" fontId="7" fillId="5" borderId="2" applyAlignment="1" pivotButton="0" quotePrefix="0" xfId="0">
      <alignment vertical="bottom"/>
    </xf>
    <xf numFmtId="166" fontId="5" fillId="3" borderId="2" applyAlignment="1" pivotButton="0" quotePrefix="0" xfId="0">
      <alignment vertical="bottom"/>
    </xf>
    <xf numFmtId="167" fontId="5" fillId="3" borderId="2" applyAlignment="1" pivotButton="0" quotePrefix="0" xfId="0">
      <alignment vertical="bottom"/>
    </xf>
    <xf numFmtId="165" fontId="9" fillId="5" borderId="2" applyAlignment="1" pivotButton="0" quotePrefix="0" xfId="0">
      <alignment vertical="bottom"/>
    </xf>
    <xf numFmtId="165" fontId="6" fillId="5" borderId="2" applyAlignment="1" pivotButton="0" quotePrefix="0" xfId="0">
      <alignment vertical="bottom"/>
    </xf>
    <xf numFmtId="168" fontId="5" fillId="3" borderId="2" applyAlignment="1" pivotButton="0" quotePrefix="0" xfId="0">
      <alignment vertical="bottom"/>
    </xf>
    <xf numFmtId="0" fontId="9" fillId="5" borderId="2" applyAlignment="1" pivotButton="0" quotePrefix="0" xfId="0">
      <alignment vertical="bottom"/>
    </xf>
    <xf numFmtId="0" fontId="8" fillId="6" borderId="2" applyAlignment="1" pivotButton="0" quotePrefix="0" xfId="0">
      <alignment vertical="bottom"/>
    </xf>
    <xf numFmtId="164" fontId="6" fillId="5" borderId="2" applyAlignment="1" pivotButton="0" quotePrefix="0" xfId="0">
      <alignment vertical="bottom"/>
    </xf>
    <xf numFmtId="165" fontId="5" fillId="3" borderId="2" applyAlignment="1" pivotButton="0" quotePrefix="0" xfId="0">
      <alignment vertical="bottom"/>
    </xf>
    <xf numFmtId="169" fontId="6" fillId="5" borderId="2" applyAlignment="1" pivotButton="0" quotePrefix="0" xfId="0">
      <alignment vertical="bottom"/>
    </xf>
    <xf numFmtId="164" fontId="9" fillId="5" borderId="2" applyAlignment="1" pivotButton="0" quotePrefix="0" xfId="0">
      <alignment vertical="bottom"/>
    </xf>
    <xf numFmtId="167" fontId="6" fillId="5" borderId="2" applyAlignment="1" pivotButton="0" quotePrefix="0" xfId="0">
      <alignment vertical="bottom"/>
    </xf>
    <xf numFmtId="167" fontId="9" fillId="5" borderId="2" applyAlignment="1" pivotButton="0" quotePrefix="0" xfId="0">
      <alignment vertical="bottom"/>
    </xf>
    <xf numFmtId="164" fontId="7" fillId="5" borderId="2" applyAlignment="1" pivotButton="0" quotePrefix="0" xfId="0">
      <alignment vertical="bottom"/>
    </xf>
    <xf numFmtId="168" fontId="9" fillId="5" borderId="2" applyAlignment="1" pivotButton="0" quotePrefix="0" xfId="0">
      <alignment vertical="bottom"/>
    </xf>
    <xf numFmtId="170" fontId="6" fillId="5" borderId="2" applyAlignment="1" pivotButton="0" quotePrefix="0" xfId="0">
      <alignment vertical="bottom"/>
    </xf>
    <xf numFmtId="168" fontId="6" fillId="5" borderId="2" applyAlignment="1" pivotButton="0" quotePrefix="0" xfId="0">
      <alignment vertical="bottom"/>
    </xf>
    <xf numFmtId="4" fontId="9" fillId="5" borderId="2" applyAlignment="1" pivotButton="0" quotePrefix="0" xfId="0">
      <alignment vertical="bottom"/>
    </xf>
    <xf numFmtId="169" fontId="9" fillId="5" borderId="2" applyAlignment="1" pivotButton="0" quotePrefix="0" xfId="0">
      <alignment vertical="bottom"/>
    </xf>
    <xf numFmtId="164" fontId="6" fillId="6" borderId="2" applyAlignment="1" pivotButton="0" quotePrefix="0" xfId="0">
      <alignment vertical="bottom"/>
    </xf>
    <xf numFmtId="0" fontId="5" fillId="3" borderId="2" applyAlignment="1" pivotButton="0" quotePrefix="0" xfId="0">
      <alignment vertical="top" wrapText="1"/>
    </xf>
    <xf numFmtId="0" fontId="10" fillId="2" borderId="2" applyAlignment="1" pivotButton="0" quotePrefix="0" xfId="0">
      <alignment vertical="bottom"/>
    </xf>
    <xf numFmtId="0" fontId="6" fillId="6" borderId="2" applyAlignment="1" pivotButton="0" quotePrefix="0" xfId="0">
      <alignment vertical="top"/>
    </xf>
    <xf numFmtId="0" fontId="3" fillId="6" borderId="2" applyAlignment="1" pivotButton="0" quotePrefix="0" xfId="0">
      <alignment vertical="top" wrapText="1"/>
    </xf>
    <xf numFmtId="0" fontId="0" fillId="0" borderId="0"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omments/comment1.xml><?xml version="1.0" encoding="utf-8"?>
<comments xmlns="http://schemas.openxmlformats.org/spreadsheetml/2006/main">
  <authors>
    <author>None</author>
  </authors>
  <commentList>
    <comment ref="B5" authorId="0" shapeId="0">
      <text>
        <t>======
ID#AAACIQEOV6c
Unknown Author    (2026-10-08 02:20:56)
Ví dụ mẫu đang điền sẵn — thay bằng sản phẩm của bạn.</t>
      </text>
    </comment>
  </commentList>
</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H24"/>
  <sheetViews>
    <sheetView workbookViewId="0">
      <selection activeCell="A1" sqref="A1"/>
    </sheetView>
  </sheetViews>
  <sheetFormatPr baseColWidth="8" defaultColWidth="14.43" defaultRowHeight="15" customHeight="1"/>
  <cols>
    <col width="52" customWidth="1" style="45" min="1" max="1"/>
    <col width="62" customWidth="1" style="45" min="2" max="2"/>
    <col width="15" customWidth="1" style="45" min="3" max="8"/>
    <col width="8.710000000000001" customWidth="1" style="45" min="9" max="26"/>
  </cols>
  <sheetData>
    <row r="1" ht="24" customHeight="1" s="45">
      <c r="A1" s="1" t="inlineStr">
        <is>
          <t>DAY 28 — MONETIZATION MODEL</t>
        </is>
      </c>
      <c r="B1" s="2" t="n"/>
      <c r="C1" s="2" t="n"/>
      <c r="D1" s="2" t="n"/>
      <c r="E1" s="2" t="n"/>
      <c r="F1" s="2" t="n"/>
      <c r="G1" s="2" t="n"/>
      <c r="H1" s="2" t="n"/>
    </row>
    <row r="2">
      <c r="A2" s="17" t="inlineStr">
        <is>
          <t>AI Pricing · GTM · Evidence — AI-IN-ACTION Track 1</t>
        </is>
      </c>
    </row>
    <row r="4">
      <c r="A4" s="4" t="inlineStr">
        <is>
          <t>QUY ƯỚC MÀU — CHỈ ĐIỀN VÀO Ô MÀU VÀNG</t>
        </is>
      </c>
    </row>
    <row r="5">
      <c r="A5" s="5" t="inlineStr">
        <is>
          <t>Ô VÀNG, chữ xanh dương</t>
        </is>
      </c>
      <c r="B5" s="14" t="inlineStr">
        <is>
          <t>Ô bạn phải điền</t>
        </is>
      </c>
    </row>
    <row r="6">
      <c r="A6" s="8" t="inlineStr">
        <is>
          <t>Ô XÁM, chữ đen</t>
        </is>
      </c>
      <c r="B6" s="14" t="inlineStr">
        <is>
          <t>Công thức tự tính — KHÔNG SỬA</t>
        </is>
      </c>
    </row>
    <row r="7">
      <c r="A7" s="9" t="inlineStr">
        <is>
          <t>Chữ xanh lá</t>
        </is>
      </c>
      <c r="B7" s="14" t="inlineStr">
        <is>
          <t>Link sang tab khác</t>
        </is>
      </c>
    </row>
    <row r="8">
      <c r="A8" s="11" t="inlineStr">
        <is>
          <t>Ô XÁM đậm nhạt</t>
        </is>
      </c>
      <c r="B8" s="14" t="inlineStr">
        <is>
          <t>Bảng tham chiếu, chỉ đọc</t>
        </is>
      </c>
    </row>
    <row r="10">
      <c r="A10" s="4" t="inlineStr">
        <is>
          <t>THỨ TỰ LÀM — 6 TRẠM, 120 PHÚT</t>
        </is>
      </c>
    </row>
    <row r="11">
      <c r="A11" s="12" t="inlineStr">
        <is>
          <t>Trạm 1 · 15'</t>
        </is>
      </c>
      <c r="B11" s="14" t="inlineStr">
        <is>
          <t>Ngân sách khách &amp; định nghĩa Job → điền S1–S2 của tab 1_Cost_Job</t>
        </is>
      </c>
    </row>
    <row r="12">
      <c r="A12" s="12" t="inlineStr">
        <is>
          <t>Trạm 2 · 20'</t>
        </is>
      </c>
      <c r="B12" s="14" t="inlineStr">
        <is>
          <t>Value Metric → tab 3_Value_Metric</t>
        </is>
      </c>
    </row>
    <row r="13">
      <c r="A13" s="12" t="inlineStr">
        <is>
          <t>Trạm 3 · 30'</t>
        </is>
      </c>
      <c r="B13" s="14" t="inlineStr">
        <is>
          <t>Cost/Job, giá sàn &amp; giá trần → tab 1_Cost_Job (S3–S8) rồi 2_Pricing</t>
        </is>
      </c>
    </row>
    <row r="14">
      <c r="A14" s="12" t="inlineStr">
        <is>
          <t>Trạm 4 · 20'</t>
        </is>
      </c>
      <c r="B14" s="14" t="inlineStr">
        <is>
          <t>Kênh phân phối &amp; Affordability Test → tab 4_Channel_Fit</t>
        </is>
      </c>
    </row>
    <row r="15">
      <c r="A15" s="12" t="inlineStr">
        <is>
          <t>Trạm 5 · 15'</t>
        </is>
      </c>
      <c r="B15" s="14" t="inlineStr">
        <is>
          <t>Pain Moment &amp; 90-Day Plan → tab 5_90Day_Plan</t>
        </is>
      </c>
    </row>
    <row r="16">
      <c r="A16" s="12" t="inlineStr">
        <is>
          <t>Trạm 6 · 20'</t>
        </is>
      </c>
      <c r="B16" s="14" t="inlineStr">
        <is>
          <t>Evidence Pack &amp; ráp One-Pager → tab 5_90Day_Plan + file .docx</t>
        </is>
      </c>
    </row>
    <row r="18">
      <c r="A18" s="4" t="inlineStr">
        <is>
          <t>3 QUY TẮC KHÔNG ĐƯỢC PHÁ</t>
        </is>
      </c>
    </row>
    <row r="19">
      <c r="A19" s="14" t="inlineStr">
        <is>
          <t>1. Chia cho số job HOÀN THÀNH, không phải số job đã thử.</t>
        </is>
      </c>
    </row>
    <row r="20">
      <c r="A20" s="14" t="inlineStr">
        <is>
          <t>2. HITL và Retry không được để 0 nếu không có lý do viết ra được.</t>
        </is>
      </c>
    </row>
    <row r="21" ht="15.75" customHeight="1" s="45">
      <c r="A21" s="14" t="inlineStr">
        <is>
          <t>3. Mọi con số giá API phải có NGÀY kiểm tra (xem tab 6_Benchmarks).</t>
        </is>
      </c>
    </row>
    <row r="22" ht="15.75" customHeight="1" s="45"/>
    <row r="23" ht="15.75" customHeight="1" s="45">
      <c r="A23" s="17" t="inlineStr">
        <is>
          <t>Giá tham chiếu trong workbook này được chốt ngày 26/08/2026. Nhiều mức giá là KHUYẾN MẠI CÓ HẠN.</t>
        </is>
      </c>
    </row>
    <row r="24" ht="15.75" customHeight="1" s="45">
      <c r="A24" s="17" t="inlineStr">
        <is>
          <t>Bạn PHẢI tự mở lại trang giá của nhà cung cấp và cập nhật — đây là một phần của bài tập.</t>
        </is>
      </c>
    </row>
    <row r="25" ht="15.75" customHeight="1" s="45"/>
    <row r="26" ht="15.75" customHeight="1" s="45"/>
    <row r="27" ht="15.75" customHeight="1" s="45"/>
    <row r="28" ht="15.75" customHeight="1" s="45"/>
    <row r="29" ht="15.75" customHeight="1" s="45"/>
    <row r="30" ht="15.75" customHeight="1" s="45"/>
    <row r="31" ht="15.75" customHeight="1" s="45"/>
    <row r="32" ht="15.75" customHeight="1" s="45"/>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2.xml><?xml version="1.0" encoding="utf-8"?>
<worksheet xmlns="http://schemas.openxmlformats.org/spreadsheetml/2006/main">
  <sheetPr>
    <outlinePr summaryBelow="1" summaryRight="1"/>
    <pageSetUpPr/>
  </sheetPr>
  <dimension ref="A1:H78"/>
  <sheetViews>
    <sheetView workbookViewId="0">
      <selection activeCell="A1" sqref="A1"/>
    </sheetView>
  </sheetViews>
  <sheetFormatPr baseColWidth="8" defaultColWidth="14.43" defaultRowHeight="15" customHeight="1"/>
  <cols>
    <col width="46" customWidth="1" style="45" min="1" max="1"/>
    <col width="16" customWidth="1" style="45" min="2" max="3"/>
    <col width="52" customWidth="1" style="45" min="4" max="4"/>
    <col width="15" customWidth="1" style="45" min="5" max="8"/>
    <col width="8.710000000000001" customWidth="1" style="45" min="9" max="26"/>
  </cols>
  <sheetData>
    <row r="1" ht="24" customHeight="1" s="45">
      <c r="A1" s="1" t="inlineStr">
        <is>
          <t>TAB 1 — COST/JOB CALCULATOR</t>
        </is>
      </c>
      <c r="B1" s="2" t="n"/>
      <c r="C1" s="2" t="n"/>
      <c r="D1" s="2" t="n"/>
      <c r="E1" s="2" t="n"/>
      <c r="F1" s="2" t="n"/>
      <c r="G1" s="2" t="n"/>
      <c r="H1" s="2" t="n"/>
    </row>
    <row r="2">
      <c r="A2" s="17" t="inlineStr">
        <is>
          <t>Trạm 1 (S1–S2) và Trạm 3 (S3–S8). Chỉ điền ô vàng.</t>
        </is>
      </c>
    </row>
    <row r="4">
      <c r="A4" s="7" t="inlineStr">
        <is>
          <t>S1. ĐỊNH NGHĨA JOB</t>
        </is>
      </c>
      <c r="B4" s="10" t="n"/>
      <c r="C4" s="10" t="n"/>
      <c r="D4" s="10" t="n"/>
      <c r="E4" s="10" t="n"/>
      <c r="F4" s="10" t="n"/>
      <c r="G4" s="10" t="n"/>
      <c r="H4" s="10" t="n"/>
    </row>
    <row r="5">
      <c r="A5" s="14" t="inlineStr">
        <is>
          <t>1 job của bạn là gì?</t>
        </is>
      </c>
      <c r="B5" s="5" t="inlineStr">
        <is>
          <t>1 lịch bảo dưỡng xe VinFast được xác nhận thành công (booking status = CONFIRMED, có SMS xác nhận cho khách và ghi nhận vào lịch kỹ thuật viên đại lý)</t>
        </is>
      </c>
      <c r="D5" s="17" t="inlineStr">
        <is>
          <t>Phải là thứ KHÁCH coi là giá trị — không phải '1 request'</t>
        </is>
      </c>
    </row>
    <row r="6">
      <c r="A6" s="14" t="inlineStr">
        <is>
          <t>Biến thể HITL: A hay B?</t>
        </is>
      </c>
      <c r="B6" s="13" t="inlineStr">
        <is>
          <t>A</t>
        </is>
      </c>
      <c r="D6" s="17" t="inlineStr">
        <is>
          <t>A = khách tự xử lý ca escalate · B = BẠN chịu (outcome/managed)</t>
        </is>
      </c>
    </row>
    <row r="8">
      <c r="A8" s="7" t="inlineStr">
        <is>
          <t>S2. KHỐI LƯỢNG</t>
        </is>
      </c>
      <c r="B8" s="10" t="n"/>
      <c r="C8" s="10" t="n"/>
      <c r="D8" s="10" t="n"/>
      <c r="E8" s="10" t="n"/>
      <c r="F8" s="10" t="n"/>
      <c r="G8" s="10" t="n"/>
      <c r="H8" s="10" t="n"/>
    </row>
    <row r="9">
      <c r="A9" s="14" t="inlineStr">
        <is>
          <t>Số job THỬ / tháng</t>
        </is>
      </c>
      <c r="B9" s="15" t="n">
        <v>500</v>
      </c>
      <c r="C9" s="17" t="inlineStr">
        <is>
          <t>job</t>
        </is>
      </c>
    </row>
    <row r="10">
      <c r="A10" s="14" t="inlineStr">
        <is>
          <t>Containment rate (AI tự làm xong)</t>
        </is>
      </c>
      <c r="B10" s="16" t="n">
        <v>0.8</v>
      </c>
      <c r="D10" s="17" t="inlineStr">
        <is>
          <t>Chưa đo → ước tính và ghi rõ</t>
        </is>
      </c>
    </row>
    <row r="11">
      <c r="A11" s="14" t="inlineStr">
        <is>
          <t>→ Số job HOÀN THÀNH / tháng</t>
        </is>
      </c>
      <c r="B11" s="19">
        <f>B9*B10</f>
        <v/>
      </c>
      <c r="C11" s="17" t="inlineStr">
        <is>
          <t>job</t>
        </is>
      </c>
      <c r="D11" s="17" t="inlineStr">
        <is>
          <t>MẪU SỐ của Cost/Job</t>
        </is>
      </c>
    </row>
    <row r="12">
      <c r="A12" s="14" t="inlineStr">
        <is>
          <t>→ Số job KHÔNG xong / tháng</t>
        </is>
      </c>
      <c r="B12" s="19">
        <f>B9-B11</f>
        <v/>
      </c>
      <c r="C12" s="17" t="inlineStr">
        <is>
          <t>job</t>
        </is>
      </c>
      <c r="D12" s="17" t="inlineStr">
        <is>
          <t>Số ca phải escalate</t>
        </is>
      </c>
    </row>
    <row r="14">
      <c r="A14" s="7" t="inlineStr">
        <is>
          <t>S3. API — LLM</t>
        </is>
      </c>
      <c r="B14" s="10" t="n"/>
      <c r="C14" s="10" t="n"/>
      <c r="D14" s="10" t="n"/>
      <c r="E14" s="10" t="n"/>
      <c r="F14" s="10" t="n"/>
      <c r="G14" s="10" t="n"/>
      <c r="H14" s="10" t="n"/>
    </row>
    <row r="15">
      <c r="A15" s="14" t="inlineStr">
        <is>
          <t>Giá input ($ / 1M token)</t>
        </is>
      </c>
      <c r="B15" s="22" t="n">
        <v>1</v>
      </c>
      <c r="D15" s="17" t="inlineStr">
        <is>
          <t>Claude Haiku 4.5 — xem tab 6_Benchmarks</t>
        </is>
      </c>
    </row>
    <row r="16">
      <c r="A16" s="14" t="inlineStr">
        <is>
          <t>Giá output ($ / 1M token)</t>
        </is>
      </c>
      <c r="B16" s="22" t="n">
        <v>5</v>
      </c>
    </row>
    <row r="17">
      <c r="A17" s="14" t="inlineStr">
        <is>
          <t>Giá cache WRITE ($ / 1M token)</t>
        </is>
      </c>
      <c r="B17" s="22" t="n">
        <v>1.25</v>
      </c>
      <c r="D17" s="17" t="inlineStr">
        <is>
          <t>Anthropic 5-phút = 1,25× input</t>
        </is>
      </c>
    </row>
    <row r="18">
      <c r="A18" s="14" t="inlineStr">
        <is>
          <t>Giá cache READ ($ / 1M token)</t>
        </is>
      </c>
      <c r="B18" s="22" t="n">
        <v>0.1</v>
      </c>
      <c r="D18" s="17" t="inlineStr">
        <is>
          <t>≈ 0,1× input (giảm 90%)</t>
        </is>
      </c>
    </row>
    <row r="19">
      <c r="A19" s="14" t="inlineStr">
        <is>
          <t>Số lượt (turns) / job</t>
        </is>
      </c>
      <c r="B19" s="15" t="n">
        <v>5</v>
      </c>
      <c r="C19" s="17" t="inlineStr">
        <is>
          <t>lượt</t>
        </is>
      </c>
    </row>
    <row r="20">
      <c r="A20" s="14" t="inlineStr">
        <is>
          <t>Token input CACHE ĐƯỢC / lượt</t>
        </is>
      </c>
      <c r="B20" s="15" t="n">
        <v>2800</v>
      </c>
      <c r="C20" s="17" t="inlineStr">
        <is>
          <t>token</t>
        </is>
      </c>
      <c r="D20" s="17" t="inlineStr">
        <is>
          <t>System prompt + KB + few-shot</t>
        </is>
      </c>
    </row>
    <row r="21" ht="15.75" customHeight="1" s="45">
      <c r="A21" s="14" t="inlineStr">
        <is>
          <t>Token input FRESH / lượt</t>
        </is>
      </c>
      <c r="B21" s="15" t="n">
        <v>700</v>
      </c>
      <c r="C21" s="17" t="inlineStr">
        <is>
          <t>token</t>
        </is>
      </c>
      <c r="D21" s="17" t="inlineStr">
        <is>
          <t>Câu hỏi khách + dữ liệu động</t>
        </is>
      </c>
    </row>
    <row r="22" ht="15.75" customHeight="1" s="45">
      <c r="A22" s="14" t="inlineStr">
        <is>
          <t>Token output / lượt</t>
        </is>
      </c>
      <c r="B22" s="15" t="n">
        <v>250</v>
      </c>
      <c r="C22" s="17" t="inlineStr">
        <is>
          <t>token</t>
        </is>
      </c>
    </row>
    <row r="23" ht="15.75" customHeight="1" s="45">
      <c r="A23" s="14" t="inlineStr">
        <is>
          <t>→ Cache write / job</t>
        </is>
      </c>
      <c r="B23" s="24">
        <f>B20*B17/1000000</f>
        <v/>
      </c>
    </row>
    <row r="24" ht="15.75" customHeight="1" s="45">
      <c r="A24" s="14" t="inlineStr">
        <is>
          <t>→ Cache read / job</t>
        </is>
      </c>
      <c r="B24" s="24">
        <f>(B19-1)*B20*B18/1000000</f>
        <v/>
      </c>
    </row>
    <row r="25" ht="15.75" customHeight="1" s="45">
      <c r="A25" s="14" t="inlineStr">
        <is>
          <t>→ Input fresh / job</t>
        </is>
      </c>
      <c r="B25" s="24">
        <f>B19*B21*B15/1000000</f>
        <v/>
      </c>
    </row>
    <row r="26" ht="15.75" customHeight="1" s="45">
      <c r="A26" s="14" t="inlineStr">
        <is>
          <t>→ Output / job</t>
        </is>
      </c>
      <c r="B26" s="24">
        <f>B19*B22*B16/1000000</f>
        <v/>
      </c>
    </row>
    <row r="27" ht="15.75" customHeight="1" s="45">
      <c r="A27" s="12" t="inlineStr">
        <is>
          <t>→ LLM / job — CÓ prompt caching</t>
        </is>
      </c>
      <c r="B27" s="23">
        <f>SUM(B23:B26)</f>
        <v/>
      </c>
    </row>
    <row r="28" ht="15.75" customHeight="1" s="45">
      <c r="A28" s="14" t="inlineStr">
        <is>
          <t>→ LLM / job — KHÔNG cache</t>
        </is>
      </c>
      <c r="B28" s="24">
        <f>B19*(B20+B21)*B15/1000000+B26</f>
        <v/>
      </c>
    </row>
    <row r="29" ht="15.75" customHeight="1" s="45">
      <c r="A29" s="14" t="inlineStr">
        <is>
          <t>→ % tiết kiệm nhờ caching</t>
        </is>
      </c>
      <c r="B29" s="28">
        <f>IF(B28=0,0,1-B27/B28)</f>
        <v/>
      </c>
      <c r="D29" s="17" t="inlineStr">
        <is>
          <t>Đòn bẩy rẻ nhất bạn có</t>
        </is>
      </c>
    </row>
    <row r="30" ht="15.75" customHeight="1" s="45">
      <c r="A30" s="14" t="inlineStr">
        <is>
          <t>Dùng Batch API? (1 = có, 0 = không)</t>
        </is>
      </c>
      <c r="B30" s="15" t="n">
        <v>0</v>
      </c>
      <c r="D30" s="17" t="inlineStr">
        <is>
          <t>Batch giảm 50% — chỉ khi job KHÔNG cần realtime</t>
        </is>
      </c>
    </row>
    <row r="31" ht="15.75" customHeight="1" s="45">
      <c r="A31" s="12" t="inlineStr">
        <is>
          <t>→ LLM / job sau Batch</t>
        </is>
      </c>
      <c r="B31" s="23">
        <f>B27*(1-B30*0.5)</f>
        <v/>
      </c>
    </row>
    <row r="32" ht="15.75" customHeight="1" s="45"/>
    <row r="33" ht="15.75" customHeight="1" s="45">
      <c r="A33" s="7" t="inlineStr">
        <is>
          <t>S4. API — SPEECH (để 0 nếu sản phẩm không có thoại)</t>
        </is>
      </c>
      <c r="B33" s="10" t="n"/>
      <c r="C33" s="10" t="n"/>
      <c r="D33" s="10" t="n"/>
      <c r="E33" s="10" t="n"/>
      <c r="F33" s="10" t="n"/>
      <c r="G33" s="10" t="n"/>
      <c r="H33" s="10" t="n"/>
    </row>
    <row r="34" ht="15.75" customHeight="1" s="45">
      <c r="A34" s="14" t="inlineStr">
        <is>
          <t>Giá STT ($ / phút)</t>
        </is>
      </c>
      <c r="B34" s="29" t="n">
        <v>0</v>
      </c>
      <c r="D34" s="17" t="inlineStr">
        <is>
          <t>Deepgram streaming list $0,0077/phút</t>
        </is>
      </c>
    </row>
    <row r="35" ht="15.75" customHeight="1" s="45">
      <c r="A35" s="14" t="inlineStr">
        <is>
          <t>Số phút audio / job</t>
        </is>
      </c>
      <c r="B35" s="21" t="n">
        <v>0</v>
      </c>
      <c r="C35" s="17" t="inlineStr">
        <is>
          <t>phút</t>
        </is>
      </c>
    </row>
    <row r="36" ht="15.75" customHeight="1" s="45">
      <c r="A36" s="14" t="inlineStr">
        <is>
          <t>Giá TTS ($ / 1M ký tự)</t>
        </is>
      </c>
      <c r="B36" s="22" t="n">
        <v>0</v>
      </c>
      <c r="D36" s="17" t="inlineStr">
        <is>
          <t>ElevenLabs Flash $50 · Google Standard $4</t>
        </is>
      </c>
    </row>
    <row r="37" ht="15.75" customHeight="1" s="45">
      <c r="A37" s="14" t="inlineStr">
        <is>
          <t>Số ký tự TTS / job</t>
        </is>
      </c>
      <c r="B37" s="15" t="n">
        <v>0</v>
      </c>
      <c r="C37" s="17" t="inlineStr">
        <is>
          <t>ký tự</t>
        </is>
      </c>
      <c r="D37" s="17" t="inlineStr">
        <is>
          <t>≈ 900 ký tự cho mỗi phút bot nói</t>
        </is>
      </c>
    </row>
    <row r="38" ht="15.75" customHeight="1" s="45">
      <c r="A38" s="14" t="inlineStr">
        <is>
          <t>→ Speech / job</t>
        </is>
      </c>
      <c r="B38" s="24">
        <f>B34*B35+B36*B37/1000000</f>
        <v/>
      </c>
    </row>
    <row r="39" ht="15.75" customHeight="1" s="45"/>
    <row r="40" ht="15.75" customHeight="1" s="45">
      <c r="A40" s="7" t="inlineStr">
        <is>
          <t>S5. INFRA</t>
        </is>
      </c>
      <c r="B40" s="10" t="n"/>
      <c r="C40" s="10" t="n"/>
      <c r="D40" s="10" t="n"/>
      <c r="E40" s="10" t="n"/>
      <c r="F40" s="10" t="n"/>
      <c r="G40" s="10" t="n"/>
      <c r="H40" s="10" t="n"/>
    </row>
    <row r="41" ht="15.75" customHeight="1" s="45">
      <c r="A41" s="14" t="inlineStr">
        <is>
          <t>Infra / job ($)</t>
        </is>
      </c>
      <c r="B41" s="29" t="n">
        <v>0.08359999999999999</v>
      </c>
      <c r="D41" s="17" t="inlineStr">
        <is>
          <t>Vector DB, embedding, storage, logging</t>
        </is>
      </c>
    </row>
    <row r="42" ht="15.75" customHeight="1" s="45">
      <c r="A42" s="14" t="inlineStr">
        <is>
          <t>Telephony ($ / phút)</t>
        </is>
      </c>
      <c r="B42" s="29" t="n">
        <v>0</v>
      </c>
    </row>
    <row r="43" ht="15.75" customHeight="1" s="45">
      <c r="A43" s="14" t="inlineStr">
        <is>
          <t>→ Infra / job</t>
        </is>
      </c>
      <c r="B43" s="24">
        <f>B41+B42*B35</f>
        <v/>
      </c>
    </row>
    <row r="44" ht="15.75" customHeight="1" s="45"/>
    <row r="45" ht="15.75" customHeight="1" s="45">
      <c r="A45" s="7" t="inlineStr">
        <is>
          <t>S6. RETRY</t>
        </is>
      </c>
      <c r="B45" s="10" t="n"/>
      <c r="C45" s="10" t="n"/>
      <c r="D45" s="10" t="n"/>
      <c r="E45" s="10" t="n"/>
      <c r="F45" s="10" t="n"/>
      <c r="G45" s="10" t="n"/>
      <c r="H45" s="10" t="n"/>
    </row>
    <row r="46" ht="15.75" customHeight="1" s="45">
      <c r="A46" s="14" t="inlineStr">
        <is>
          <t>Tỷ lệ job phải chạy lại</t>
        </is>
      </c>
      <c r="B46" s="16" t="n">
        <v>0.07000000000000001</v>
      </c>
      <c r="D46" s="17" t="inlineStr">
        <is>
          <t>ĐỪNG để 0%. Thực tế 5–10% là bình thường</t>
        </is>
      </c>
    </row>
    <row r="47" ht="15.75" customHeight="1" s="45">
      <c r="A47" s="14" t="inlineStr">
        <is>
          <t>→ Retry / job</t>
        </is>
      </c>
      <c r="B47" s="24">
        <f>(B31+B38)*B46</f>
        <v/>
      </c>
    </row>
    <row r="48" ht="15.75" customHeight="1" s="45"/>
    <row r="49" ht="15.75" customHeight="1" s="45">
      <c r="A49" s="7" t="inlineStr">
        <is>
          <t>S7. HITL — người trong vòng lặp</t>
        </is>
      </c>
      <c r="B49" s="10" t="n"/>
      <c r="C49" s="10" t="n"/>
      <c r="D49" s="10" t="n"/>
      <c r="E49" s="10" t="n"/>
      <c r="F49" s="10" t="n"/>
      <c r="G49" s="10" t="n"/>
      <c r="H49" s="10" t="n"/>
    </row>
    <row r="50" ht="15.75" customHeight="1" s="45">
      <c r="A50" s="14" t="inlineStr">
        <is>
          <t>Chi phí nhân sự ($ / giờ, fully-loaded)</t>
        </is>
      </c>
      <c r="B50" s="22" t="n">
        <v>9</v>
      </c>
      <c r="D50" s="17" t="inlineStr">
        <is>
          <t>Gồm lương + bảo hiểm + quản lý + chỗ ngồi</t>
        </is>
      </c>
    </row>
    <row r="51" ht="15.75" customHeight="1" s="45">
      <c r="A51" s="14" t="inlineStr">
        <is>
          <t>% hội thoại QA nội bộ</t>
        </is>
      </c>
      <c r="B51" s="16" t="n">
        <v>0.05</v>
      </c>
      <c r="D51" s="17" t="inlineStr">
        <is>
          <t>Luôn có, kể cả Biến thể A</t>
        </is>
      </c>
    </row>
    <row r="52" ht="15.75" customHeight="1" s="45">
      <c r="A52" s="14" t="inlineStr">
        <is>
          <t>Số phút QA / ca</t>
        </is>
      </c>
      <c r="B52" s="21" t="n">
        <v>9.199999999999999</v>
      </c>
      <c r="C52" s="17" t="inlineStr">
        <is>
          <t>phút</t>
        </is>
      </c>
    </row>
    <row r="53" ht="15.75" customHeight="1" s="45">
      <c r="A53" s="14" t="inlineStr">
        <is>
          <t>Số phút xử lý 1 ca escalate</t>
        </is>
      </c>
      <c r="B53" s="21" t="n">
        <v>6</v>
      </c>
      <c r="C53" s="17" t="inlineStr">
        <is>
          <t>phút</t>
        </is>
      </c>
    </row>
    <row r="54" ht="15.75" customHeight="1" s="45">
      <c r="A54" s="14" t="inlineStr">
        <is>
          <t>→ QA nội bộ / tháng</t>
        </is>
      </c>
      <c r="B54" s="32">
        <f>B9*B51*(B52/60)*B50</f>
        <v/>
      </c>
    </row>
    <row r="55" ht="15.75" customHeight="1" s="45">
      <c r="A55" s="14" t="inlineStr">
        <is>
          <t>→ Escalation / tháng (chỉ Biến thể B)</t>
        </is>
      </c>
      <c r="B55" s="32">
        <f>IF(B6="B",B12*(B53/60)*B50,0)</f>
        <v/>
      </c>
      <c r="D55" s="17" t="inlineStr">
        <is>
          <t>Biến thể A → 0 vì khách tự chịu</t>
        </is>
      </c>
    </row>
    <row r="56" ht="15.75" customHeight="1" s="45">
      <c r="A56" s="12" t="inlineStr">
        <is>
          <t>→ Tổng HITL / tháng</t>
        </is>
      </c>
      <c r="B56" s="33">
        <f>B54+B55</f>
        <v/>
      </c>
    </row>
    <row r="57" ht="15.75" customHeight="1" s="45"/>
    <row r="58" ht="15.75" customHeight="1" s="45">
      <c r="A58" s="7" t="inlineStr">
        <is>
          <t>S8. OVERHEAD (tuỳ chọn)</t>
        </is>
      </c>
      <c r="B58" s="10" t="n"/>
      <c r="C58" s="10" t="n"/>
      <c r="D58" s="10" t="n"/>
      <c r="E58" s="10" t="n"/>
      <c r="F58" s="10" t="n"/>
      <c r="G58" s="10" t="n"/>
      <c r="H58" s="10" t="n"/>
    </row>
    <row r="59" ht="15.75" customHeight="1" s="45">
      <c r="A59" s="14" t="inlineStr">
        <is>
          <t>R&amp;D + Sales phân bổ / tháng ($)</t>
        </is>
      </c>
      <c r="B59" s="22" t="n">
        <v>400</v>
      </c>
      <c r="D59" s="17" t="inlineStr">
        <is>
          <t>Để 0 nếu chỉ muốn xem Cost/Job thuần COGS</t>
        </is>
      </c>
    </row>
    <row r="60" ht="15.75" customHeight="1" s="45"/>
    <row r="61" ht="15.75" customHeight="1" s="45">
      <c r="A61" s="7" t="inlineStr">
        <is>
          <t>KẾT QUẢ</t>
        </is>
      </c>
      <c r="B61" s="10" t="n"/>
      <c r="C61" s="10" t="n"/>
      <c r="D61" s="10" t="n"/>
      <c r="E61" s="10" t="n"/>
      <c r="F61" s="10" t="n"/>
      <c r="G61" s="10" t="n"/>
      <c r="H61" s="10" t="n"/>
    </row>
    <row r="62" ht="15.75" customHeight="1" s="45">
      <c r="A62" s="14" t="inlineStr">
        <is>
          <t>Chi phí biến đổi / tháng (API + Speech + Infra + Retry)</t>
        </is>
      </c>
      <c r="B62" s="32">
        <f>B9*(B31+B38+B43+B47)</f>
        <v/>
      </c>
    </row>
    <row r="63" ht="15.75" customHeight="1" s="45">
      <c r="A63" s="14" t="inlineStr">
        <is>
          <t>HITL / tháng</t>
        </is>
      </c>
      <c r="B63" s="32">
        <f>B56</f>
        <v/>
      </c>
    </row>
    <row r="64" ht="15.75" customHeight="1" s="45">
      <c r="A64" s="14" t="inlineStr">
        <is>
          <t>Overhead / tháng</t>
        </is>
      </c>
      <c r="B64" s="32">
        <f>B59</f>
        <v/>
      </c>
    </row>
    <row r="65" ht="15.75" customHeight="1" s="45">
      <c r="A65" s="14" t="inlineStr">
        <is>
          <t>TỔNG CHI PHÍ / tháng</t>
        </is>
      </c>
      <c r="B65" s="32">
        <f>B62+B63+B64</f>
        <v/>
      </c>
    </row>
    <row r="66" ht="15.75" customHeight="1" s="45">
      <c r="A66" s="12" t="inlineStr">
        <is>
          <t>★ COST/JOB (chưa overhead)</t>
        </is>
      </c>
      <c r="B66" s="23">
        <f>IF(B11=0,0,(B62+B63)/B11)</f>
        <v/>
      </c>
      <c r="C66" s="17" t="inlineStr">
        <is>
          <t>$/job</t>
        </is>
      </c>
      <c r="D66" s="17" t="inlineStr">
        <is>
          <t>Con số chảy sang tab 2_Pricing</t>
        </is>
      </c>
    </row>
    <row r="67" ht="15.75" customHeight="1" s="45">
      <c r="A67" s="12" t="inlineStr">
        <is>
          <t>★ COST/JOB (có overhead)</t>
        </is>
      </c>
      <c r="B67" s="23">
        <f>IF(B11=0,0,B65/B11)</f>
        <v/>
      </c>
      <c r="C67" s="17" t="inlineStr">
        <is>
          <t>$/job</t>
        </is>
      </c>
    </row>
    <row r="68" ht="15.75" customHeight="1" s="45">
      <c r="A68" s="14" t="inlineStr">
        <is>
          <t>Tỷ giá (₫ / USD) — giả định</t>
        </is>
      </c>
      <c r="B68" s="15" t="n">
        <v>25400</v>
      </c>
      <c r="C68" s="17" t="inlineStr">
        <is>
          <t>₫/USD</t>
        </is>
      </c>
      <c r="D68" s="17" t="inlineStr">
        <is>
          <t>Thay bằng tỷ giá thực tế khi làm bài</t>
        </is>
      </c>
    </row>
    <row r="69" ht="15.75" customHeight="1" s="45">
      <c r="A69" s="14" t="inlineStr">
        <is>
          <t>→ Cost/Job quy đổi</t>
        </is>
      </c>
      <c r="B69" s="36">
        <f>B66*B68</f>
        <v/>
      </c>
      <c r="C69" s="17" t="inlineStr">
        <is>
          <t>₫/job</t>
        </is>
      </c>
    </row>
    <row r="70" ht="15.75" customHeight="1" s="45"/>
    <row r="71" ht="15.75" customHeight="1" s="45">
      <c r="A71" s="7" t="inlineStr">
        <is>
          <t>THÀNH PHẦN NÀO ĂN NHIỀU NHẤT? (kiểm tra nhanh)</t>
        </is>
      </c>
      <c r="B71" s="10" t="n"/>
      <c r="C71" s="10" t="n"/>
      <c r="D71" s="10" t="n"/>
      <c r="E71" s="10" t="n"/>
      <c r="F71" s="10" t="n"/>
      <c r="G71" s="10" t="n"/>
      <c r="H71" s="10" t="n"/>
    </row>
    <row r="72" ht="15.75" customHeight="1" s="45">
      <c r="A72" s="14" t="inlineStr">
        <is>
          <t>LLM</t>
        </is>
      </c>
      <c r="B72" s="32">
        <f>B9*B31</f>
        <v/>
      </c>
      <c r="C72" s="28">
        <f>IF($B$65=0,0,B72/$B$65)</f>
        <v/>
      </c>
    </row>
    <row r="73" ht="15.75" customHeight="1" s="45">
      <c r="A73" s="14" t="inlineStr">
        <is>
          <t>Speech</t>
        </is>
      </c>
      <c r="B73" s="32">
        <f>B9*B38</f>
        <v/>
      </c>
      <c r="C73" s="28">
        <f>IF($B$65=0,0,B73/$B$65)</f>
        <v/>
      </c>
    </row>
    <row r="74" ht="15.75" customHeight="1" s="45">
      <c r="A74" s="14" t="inlineStr">
        <is>
          <t>Infra</t>
        </is>
      </c>
      <c r="B74" s="32">
        <f>B9*B43</f>
        <v/>
      </c>
      <c r="C74" s="28">
        <f>IF($B$65=0,0,B74/$B$65)</f>
        <v/>
      </c>
    </row>
    <row r="75" ht="15.75" customHeight="1" s="45">
      <c r="A75" s="14" t="inlineStr">
        <is>
          <t>Retry</t>
        </is>
      </c>
      <c r="B75" s="32">
        <f>B9*B47</f>
        <v/>
      </c>
      <c r="C75" s="28">
        <f>IF($B$65=0,0,B75/$B$65)</f>
        <v/>
      </c>
    </row>
    <row r="76" ht="15.75" customHeight="1" s="45">
      <c r="A76" s="14" t="inlineStr">
        <is>
          <t>HITL</t>
        </is>
      </c>
      <c r="B76" s="32">
        <f>B56</f>
        <v/>
      </c>
      <c r="C76" s="28">
        <f>IF($B$65=0,0,B76/$B$65)</f>
        <v/>
      </c>
    </row>
    <row r="77" ht="15.75" customHeight="1" s="45">
      <c r="A77" s="14" t="inlineStr">
        <is>
          <t>Overhead</t>
        </is>
      </c>
      <c r="B77" s="32">
        <f>B59</f>
        <v/>
      </c>
      <c r="C77" s="28">
        <f>IF($B$65=0,0,B77/$B$65)</f>
        <v/>
      </c>
    </row>
    <row r="78" ht="15.75" customHeight="1" s="45">
      <c r="A78" s="17" t="inlineStr">
        <is>
          <t>Nếu LLM chiếm &gt;80% thì gần như chắc chắn bạn đang thiếu chi phí ở S5–S7.</t>
        </is>
      </c>
    </row>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dataValidations count="1">
    <dataValidation sqref="B6" showDropDown="0" showInputMessage="0" showErrorMessage="0" allowBlank="1" type="list">
      <formula1>"A,B"</formula1>
    </dataValidation>
  </dataValidations>
  <pageMargins left="0.75" right="0.75" top="1" bottom="1" header="0" footer="0"/>
  <pageSetup orientation="portrait" paperSize="9"/>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H53"/>
  <sheetViews>
    <sheetView workbookViewId="0">
      <selection activeCell="A1" sqref="A1"/>
    </sheetView>
  </sheetViews>
  <sheetFormatPr baseColWidth="8" defaultColWidth="14.43" defaultRowHeight="15" customHeight="1"/>
  <cols>
    <col width="46" customWidth="1" style="45" min="1" max="1"/>
    <col width="16" customWidth="1" style="45" min="2" max="3"/>
    <col width="54" customWidth="1" style="45" min="4" max="4"/>
    <col width="15" customWidth="1" style="45" min="5" max="8"/>
    <col width="8.710000000000001" customWidth="1" style="45" min="9" max="26"/>
  </cols>
  <sheetData>
    <row r="1" ht="24" customHeight="1" s="45">
      <c r="A1" s="1" t="inlineStr">
        <is>
          <t>TAB 2 — PRICING SANITY CHECK</t>
        </is>
      </c>
      <c r="B1" s="2" t="n"/>
      <c r="C1" s="2" t="n"/>
      <c r="D1" s="2" t="n"/>
      <c r="E1" s="2" t="n"/>
      <c r="F1" s="2" t="n"/>
      <c r="G1" s="2" t="n"/>
      <c r="H1" s="2" t="n"/>
    </row>
    <row r="2">
      <c r="A2" s="17" t="inlineStr">
        <is>
          <t>Trạm 3. Cost/Job tự lấy từ tab 1. Bạn điền giá bán và các con số neo giá.</t>
        </is>
      </c>
    </row>
    <row r="4">
      <c r="A4" s="7" t="inlineStr">
        <is>
          <t>GIÁ SÀN</t>
        </is>
      </c>
      <c r="B4" s="10" t="n"/>
      <c r="C4" s="10" t="n"/>
      <c r="D4" s="10" t="n"/>
      <c r="E4" s="10" t="n"/>
      <c r="F4" s="10" t="n"/>
      <c r="G4" s="10" t="n"/>
      <c r="H4" s="10" t="n"/>
    </row>
    <row r="5">
      <c r="A5" s="14" t="inlineStr">
        <is>
          <t>Cost/Job (từ tab 1_Cost_Job)</t>
        </is>
      </c>
      <c r="B5" s="20">
        <f>'1_Cost_Job'!B66</f>
        <v/>
      </c>
      <c r="C5" s="17" t="inlineStr">
        <is>
          <t>$/job</t>
        </is>
      </c>
    </row>
    <row r="6">
      <c r="A6" s="14" t="inlineStr">
        <is>
          <t>Hệ số an toàn tối thiểu</t>
        </is>
      </c>
      <c r="B6" s="21" t="n">
        <v>3</v>
      </c>
      <c r="C6" s="17" t="inlineStr">
        <is>
          <t>×</t>
        </is>
      </c>
      <c r="D6" s="17" t="inlineStr">
        <is>
          <t>Giá bán ≥ 3 × Cost/Job</t>
        </is>
      </c>
    </row>
    <row r="7">
      <c r="A7" s="12" t="inlineStr">
        <is>
          <t>→ GIÁ SÀN</t>
        </is>
      </c>
      <c r="B7" s="23">
        <f>B5*B6</f>
        <v/>
      </c>
      <c r="C7" s="17" t="inlineStr">
        <is>
          <t>$/job</t>
        </is>
      </c>
    </row>
    <row r="9">
      <c r="A9" s="7" t="inlineStr">
        <is>
          <t>GIÁ TRẦN — NEO THEO THỨ KHÁCH ĐANG CHI</t>
        </is>
      </c>
      <c r="B9" s="10" t="n"/>
      <c r="C9" s="10" t="n"/>
      <c r="D9" s="10" t="n"/>
      <c r="E9" s="10" t="n"/>
      <c r="F9" s="10" t="n"/>
      <c r="G9" s="10" t="n"/>
      <c r="H9" s="10" t="n"/>
    </row>
    <row r="10">
      <c r="A10" s="14" t="inlineStr">
        <is>
          <t>Giá trị khách tiết kiệm được / tháng ($)</t>
        </is>
      </c>
      <c r="B10" s="25" t="n">
        <v>2500</v>
      </c>
      <c r="D10" s="17" t="inlineStr">
        <is>
          <t>Neo theo giá trị</t>
        </is>
      </c>
    </row>
    <row r="11">
      <c r="A11" s="14" t="inlineStr">
        <is>
          <t>Số job / tháng của 1 khách</t>
        </is>
      </c>
      <c r="B11" s="15" t="n">
        <v>400</v>
      </c>
      <c r="C11" s="17" t="inlineStr">
        <is>
          <t>job</t>
        </is>
      </c>
    </row>
    <row r="12">
      <c r="A12" s="14" t="inlineStr">
        <is>
          <t>→ Trần theo giá trị — mức 10%</t>
        </is>
      </c>
      <c r="B12" s="24">
        <f>IF(B11=0,0,B10*0.1/B11)</f>
        <v/>
      </c>
      <c r="C12" s="17" t="inlineStr">
        <is>
          <t>$/job</t>
        </is>
      </c>
    </row>
    <row r="13">
      <c r="A13" s="14" t="inlineStr">
        <is>
          <t>→ Trần theo giá trị — mức 25%</t>
        </is>
      </c>
      <c r="B13" s="24">
        <f>IF(B11=0,0,B10*0.25/B11)</f>
        <v/>
      </c>
      <c r="C13" s="17" t="inlineStr">
        <is>
          <t>$/job</t>
        </is>
      </c>
    </row>
    <row r="14">
      <c r="A14" s="14" t="inlineStr">
        <is>
          <t>Lương / tháng của vị trí bị thay ($)</t>
        </is>
      </c>
      <c r="B14" s="25" t="n">
        <v>800</v>
      </c>
      <c r="D14" s="17" t="inlineStr">
        <is>
          <t>Neo theo nhân công</t>
        </is>
      </c>
    </row>
    <row r="15">
      <c r="A15" s="14" t="inlineStr">
        <is>
          <t>→ Trần theo nhân công — mức 50%</t>
        </is>
      </c>
      <c r="B15" s="24">
        <f>IF(B11=0,0,B14*0.5/B11)</f>
        <v/>
      </c>
      <c r="C15" s="17" t="inlineStr">
        <is>
          <t>$/job</t>
        </is>
      </c>
    </row>
    <row r="16">
      <c r="A16" s="14" t="inlineStr">
        <is>
          <t>→ Trần theo nhân công — mức 70%</t>
        </is>
      </c>
      <c r="B16" s="24">
        <f>IF(B11=0,0,B14*0.7/B11)</f>
        <v/>
      </c>
      <c r="C16" s="17" t="inlineStr">
        <is>
          <t>$/job</t>
        </is>
      </c>
    </row>
    <row r="18">
      <c r="A18" s="7" t="inlineStr">
        <is>
          <t>GIÁ BÁN CỦA BẠN</t>
        </is>
      </c>
      <c r="B18" s="10" t="n"/>
      <c r="C18" s="10" t="n"/>
      <c r="D18" s="10" t="n"/>
      <c r="E18" s="10" t="n"/>
      <c r="F18" s="10" t="n"/>
      <c r="G18" s="10" t="n"/>
      <c r="H18" s="10" t="n"/>
    </row>
    <row r="19">
      <c r="A19" s="14" t="inlineStr">
        <is>
          <t>★ Giá bán đề xuất ($ / job)</t>
        </is>
      </c>
      <c r="B19" s="29" t="n">
        <v>1.378</v>
      </c>
      <c r="C19" s="17" t="inlineStr">
        <is>
          <t>$/job</t>
        </is>
      </c>
      <c r="D19" s="17" t="inlineStr">
        <is>
          <t>Tham chiếu: Intercom Fin $0,99 · Zendesk $1,50</t>
        </is>
      </c>
    </row>
    <row r="20">
      <c r="A20" s="14" t="inlineStr">
        <is>
          <t>→ Bội số so với Cost/Job</t>
        </is>
      </c>
      <c r="B20" s="30">
        <f>IF(B5=0,0,B19/B5)</f>
        <v/>
      </c>
    </row>
    <row r="21" ht="15.75" customHeight="1" s="45">
      <c r="A21" s="12" t="inlineStr">
        <is>
          <t>→ GROSS MARGIN</t>
        </is>
      </c>
      <c r="B21" s="31">
        <f>IF(B19=0,0,(B19-B5)/B19)</f>
        <v/>
      </c>
    </row>
    <row r="22" ht="15.75" customHeight="1" s="45">
      <c r="A22" s="14" t="inlineStr">
        <is>
          <t>→ Đèn: bội số ≥ 3?</t>
        </is>
      </c>
      <c r="B22" s="8">
        <f>IF(B20&gt;=B6,"OK — ĐẠT","KHÔNG ĐẠT — quay lại tab 1")</f>
        <v/>
      </c>
    </row>
    <row r="23" ht="15.75" customHeight="1" s="45">
      <c r="A23" s="14" t="inlineStr">
        <is>
          <t>→ Đèn: Gross Margin</t>
        </is>
      </c>
      <c r="B23" s="8">
        <f>IF(B21&gt;=0.6,"OK — AN TOÀN (≥60%)",IF(B21&gt;=0.5,"CẢNH BÁO (50–60%)","NGUY HIỂM (&lt;50%)"))</f>
        <v/>
      </c>
    </row>
    <row r="24" ht="15.75" customHeight="1" s="45">
      <c r="A24" s="14" t="inlineStr">
        <is>
          <t>→ Đèn: GM có cao bất thường?</t>
        </is>
      </c>
      <c r="B24" s="8">
        <f>IF(B21&gt;0.85,"NGHI NGỜ — nhiều khả năng bạn quên một khoản chi phí","OK")</f>
        <v/>
      </c>
    </row>
    <row r="25" ht="15.75" customHeight="1" s="45">
      <c r="A25" s="14" t="inlineStr">
        <is>
          <t>→ Giá bán nằm trong vùng neo?</t>
        </is>
      </c>
      <c r="B25" s="8">
        <f>IF(AND(B19&gt;=B7,B19&lt;=MAX(B13,B16)),"OK — trong vùng giá bán","XEM LẠI — ngoài vùng giá sàn/trần")</f>
        <v/>
      </c>
    </row>
    <row r="26" ht="15.75" customHeight="1" s="45"/>
    <row r="27" ht="15.75" customHeight="1" s="45">
      <c r="A27" s="7" t="inlineStr">
        <is>
          <t>BREAKEVEN CONTAINMENT — ngưỡng sống còn</t>
        </is>
      </c>
      <c r="B27" s="10" t="n"/>
      <c r="C27" s="10" t="n"/>
      <c r="D27" s="10" t="n"/>
      <c r="E27" s="10" t="n"/>
      <c r="F27" s="10" t="n"/>
      <c r="G27" s="10" t="n"/>
      <c r="H27" s="10" t="n"/>
    </row>
    <row r="28" ht="15.75" customHeight="1" s="45">
      <c r="A28" s="17" t="inlineStr">
        <is>
          <t>Ký hiệu: v = chi phí biến đổi / job thử · q = QA / job thử · e = chi phí 1 ca escalate</t>
        </is>
      </c>
    </row>
    <row r="29" ht="15.75" customHeight="1" s="45">
      <c r="A29" s="14" t="inlineStr">
        <is>
          <t>v — chi phí biến đổi / job thử</t>
        </is>
      </c>
      <c r="B29" s="20">
        <f>'1_Cost_Job'!B31+'1_Cost_Job'!B38+'1_Cost_Job'!B43+'1_Cost_Job'!B47</f>
        <v/>
      </c>
    </row>
    <row r="30" ht="15.75" customHeight="1" s="45">
      <c r="A30" s="14" t="inlineStr">
        <is>
          <t>q — QA nội bộ / job thử</t>
        </is>
      </c>
      <c r="B30" s="20">
        <f>'1_Cost_Job'!B51*('1_Cost_Job'!B52/60)*'1_Cost_Job'!B50</f>
        <v/>
      </c>
    </row>
    <row r="31" ht="15.75" customHeight="1" s="45">
      <c r="A31" s="14" t="inlineStr">
        <is>
          <t>e — chi phí 1 ca escalate</t>
        </is>
      </c>
      <c r="B31" s="20">
        <f>IF('1_Cost_Job'!B6="B",('1_Cost_Job'!B53/60)*'1_Cost_Job'!B50,0)</f>
        <v/>
      </c>
    </row>
    <row r="32" ht="15.75" customHeight="1" s="45">
      <c r="A32" s="14" t="inlineStr">
        <is>
          <t>Gross Margin mục tiêu</t>
        </is>
      </c>
      <c r="B32" s="16" t="n">
        <v>0.6</v>
      </c>
    </row>
    <row r="33" ht="15.75" customHeight="1" s="45">
      <c r="A33" s="12" t="inlineStr">
        <is>
          <t>★ Containment tối thiểu cần đạt</t>
        </is>
      </c>
      <c r="B33" s="31">
        <f>IF((B19*(1-B32)+B31)=0,0,(B29+B30+B31)/(B19*(1-B32)+B31))</f>
        <v/>
      </c>
      <c r="D33" s="17" t="inlineStr">
        <is>
          <t>Công thức: R ≥ (v+q+e) / (P×(1−GM)+e)</t>
        </is>
      </c>
    </row>
    <row r="34" ht="15.75" customHeight="1" s="45">
      <c r="A34" s="14" t="inlineStr">
        <is>
          <t>Containment hiện tại (từ tab 1)</t>
        </is>
      </c>
      <c r="B34" s="34">
        <f>'1_Cost_Job'!B10</f>
        <v/>
      </c>
    </row>
    <row r="35" ht="15.75" customHeight="1" s="45">
      <c r="A35" s="14" t="inlineStr">
        <is>
          <t>→ Kết luận</t>
        </is>
      </c>
      <c r="B35" s="8">
        <f>IF(B34&gt;=B33,"ĐẠT — mô hình có lãi lành mạnh","CHƯA ĐẠT — phải tăng containment, tăng giá, hoặc đổi biến thể HITL")</f>
        <v/>
      </c>
    </row>
    <row r="36" ht="15.75" customHeight="1" s="45"/>
    <row r="37" ht="15.75" customHeight="1" s="45">
      <c r="A37" s="7" t="inlineStr">
        <is>
          <t>SENSITIVITY — mô hình gãy ở đâu?</t>
        </is>
      </c>
      <c r="B37" s="10" t="n"/>
      <c r="C37" s="10" t="n"/>
      <c r="D37" s="10" t="n"/>
      <c r="E37" s="10" t="n"/>
      <c r="F37" s="10" t="n"/>
      <c r="G37" s="10" t="n"/>
      <c r="H37" s="10" t="n"/>
    </row>
    <row r="38" ht="15.75" customHeight="1" s="45">
      <c r="A38" s="27" t="inlineStr">
        <is>
          <t>Containment</t>
        </is>
      </c>
      <c r="B38" s="27" t="inlineStr">
        <is>
          <t>Cost/Job</t>
        </is>
      </c>
      <c r="C38" s="27" t="inlineStr">
        <is>
          <t>Gross Margin</t>
        </is>
      </c>
      <c r="D38" s="27" t="inlineStr">
        <is>
          <t>Đánh giá</t>
        </is>
      </c>
    </row>
    <row r="39" ht="15.75" customHeight="1" s="45">
      <c r="A39" s="40" t="n">
        <v>0.5</v>
      </c>
      <c r="B39" s="24">
        <f>($B$29+$B$30+$B$31*(1-A39))/A39</f>
        <v/>
      </c>
      <c r="C39" s="28">
        <f>IF($B$19=0,0,1-B39/$B$19)</f>
        <v/>
      </c>
      <c r="D39" s="8">
        <f>IF(C39&gt;=0.6,"An toàn",IF(C39&gt;=0.5,"Cảnh báo","Nguy hiểm"))</f>
        <v/>
      </c>
    </row>
    <row r="40" ht="15.75" customHeight="1" s="45">
      <c r="A40" s="40" t="n">
        <v>0.6</v>
      </c>
      <c r="B40" s="24">
        <f>($B$29+$B$30+$B$31*(1-A40))/A40</f>
        <v/>
      </c>
      <c r="C40" s="28">
        <f>IF($B$19=0,0,1-B40/$B$19)</f>
        <v/>
      </c>
      <c r="D40" s="8">
        <f>IF(C40&gt;=0.6,"An toàn",IF(C40&gt;=0.5,"Cảnh báo","Nguy hiểm"))</f>
        <v/>
      </c>
    </row>
    <row r="41" ht="15.75" customHeight="1" s="45">
      <c r="A41" s="40" t="n">
        <v>0.7</v>
      </c>
      <c r="B41" s="24">
        <f>($B$29+$B$30+$B$31*(1-A41))/A41</f>
        <v/>
      </c>
      <c r="C41" s="28">
        <f>IF($B$19=0,0,1-B41/$B$19)</f>
        <v/>
      </c>
      <c r="D41" s="8">
        <f>IF(C41&gt;=0.6,"An toàn",IF(C41&gt;=0.5,"Cảnh báo","Nguy hiểm"))</f>
        <v/>
      </c>
    </row>
    <row r="42" ht="15.75" customHeight="1" s="45">
      <c r="A42" s="40" t="n">
        <v>0.8</v>
      </c>
      <c r="B42" s="24">
        <f>($B$29+$B$30+$B$31*(1-A42))/A42</f>
        <v/>
      </c>
      <c r="C42" s="28">
        <f>IF($B$19=0,0,1-B42/$B$19)</f>
        <v/>
      </c>
      <c r="D42" s="8">
        <f>IF(C42&gt;=0.6,"An toàn",IF(C42&gt;=0.5,"Cảnh báo","Nguy hiểm"))</f>
        <v/>
      </c>
    </row>
    <row r="43" ht="15.75" customHeight="1" s="45">
      <c r="A43" s="40" t="n">
        <v>0.9</v>
      </c>
      <c r="B43" s="24">
        <f>($B$29+$B$30+$B$31*(1-A43))/A43</f>
        <v/>
      </c>
      <c r="C43" s="28">
        <f>IF($B$19=0,0,1-B43/$B$19)</f>
        <v/>
      </c>
      <c r="D43" s="8">
        <f>IF(C43&gt;=0.6,"An toàn",IF(C43&gt;=0.5,"Cảnh báo","Nguy hiểm"))</f>
        <v/>
      </c>
    </row>
    <row r="44" ht="15.75" customHeight="1" s="45">
      <c r="A44" s="40" t="n">
        <v>0.95</v>
      </c>
      <c r="B44" s="24">
        <f>($B$29+$B$30+$B$31*(1-A44))/A44</f>
        <v/>
      </c>
      <c r="C44" s="28">
        <f>IF($B$19=0,0,1-B44/$B$19)</f>
        <v/>
      </c>
      <c r="D44" s="8">
        <f>IF(C44&gt;=0.6,"An toàn",IF(C44&gt;=0.5,"Cảnh báo","Nguy hiểm"))</f>
        <v/>
      </c>
    </row>
    <row r="45" ht="15.75" customHeight="1" s="45"/>
    <row r="46" ht="15.75" customHeight="1" s="45">
      <c r="A46" s="17" t="inlineStr">
        <is>
          <t>Nhìn cột Gross Margin: mô hình của bạn mong manh đến mức nào khi AI làm sai nhiều hơn dự kiến?</t>
        </is>
      </c>
    </row>
    <row r="47" ht="15.75" customHeight="1" s="45"/>
    <row r="48" ht="15.75" customHeight="1" s="45">
      <c r="A48" s="7" t="inlineStr">
        <is>
          <t>5 CON SỐ PHẢI MANG SANG ONE-PAGER</t>
        </is>
      </c>
      <c r="B48" s="10" t="n"/>
      <c r="C48" s="10" t="n"/>
      <c r="D48" s="10" t="n"/>
      <c r="E48" s="10" t="n"/>
      <c r="F48" s="10" t="n"/>
      <c r="G48" s="10" t="n"/>
      <c r="H48" s="10" t="n"/>
    </row>
    <row r="49" ht="15.75" customHeight="1" s="45">
      <c r="A49" s="12" t="inlineStr">
        <is>
          <t>Cost/Job</t>
        </is>
      </c>
      <c r="B49" s="23">
        <f>B5</f>
        <v/>
      </c>
    </row>
    <row r="50" ht="15.75" customHeight="1" s="45">
      <c r="A50" s="12" t="inlineStr">
        <is>
          <t>Giá sàn (3×)</t>
        </is>
      </c>
      <c r="B50" s="23">
        <f>B7</f>
        <v/>
      </c>
    </row>
    <row r="51" ht="15.75" customHeight="1" s="45">
      <c r="A51" s="12" t="inlineStr">
        <is>
          <t>Giá bán đề xuất</t>
        </is>
      </c>
      <c r="B51" s="23">
        <f>B19</f>
        <v/>
      </c>
    </row>
    <row r="52" ht="15.75" customHeight="1" s="45">
      <c r="A52" s="12" t="inlineStr">
        <is>
          <t>Gross Margin</t>
        </is>
      </c>
      <c r="B52" s="31">
        <f>B21</f>
        <v/>
      </c>
    </row>
    <row r="53" ht="15.75" customHeight="1" s="45">
      <c r="A53" s="12" t="inlineStr">
        <is>
          <t>Breakeven containment</t>
        </is>
      </c>
      <c r="B53" s="31">
        <f>B33</f>
        <v/>
      </c>
    </row>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4.xml><?xml version="1.0" encoding="utf-8"?>
<worksheet xmlns="http://schemas.openxmlformats.org/spreadsheetml/2006/main">
  <sheetPr>
    <outlinePr summaryBelow="1" summaryRight="1"/>
    <pageSetUpPr/>
  </sheetPr>
  <dimension ref="A1:H34"/>
  <sheetViews>
    <sheetView workbookViewId="0">
      <selection activeCell="A1" sqref="A1"/>
    </sheetView>
  </sheetViews>
  <sheetFormatPr baseColWidth="8" defaultColWidth="14.43" defaultRowHeight="15" customHeight="1"/>
  <cols>
    <col width="72" customWidth="1" style="45" min="1" max="1"/>
    <col width="12" customWidth="1" style="45" min="2" max="2"/>
    <col width="50" customWidth="1" style="45" min="3" max="3"/>
    <col width="46" customWidth="1" style="45" min="4" max="4"/>
    <col width="15" customWidth="1" style="45" min="5" max="8"/>
    <col width="8.710000000000001" customWidth="1" style="45" min="9" max="26"/>
  </cols>
  <sheetData>
    <row r="1" ht="24" customHeight="1" s="45">
      <c r="A1" s="1" t="inlineStr">
        <is>
          <t>TAB 3 — VALUE METRIC SCORECARD</t>
        </is>
      </c>
      <c r="B1" s="2" t="n"/>
      <c r="C1" s="2" t="n"/>
      <c r="D1" s="2" t="n"/>
      <c r="E1" s="2" t="n"/>
      <c r="F1" s="2" t="n"/>
      <c r="G1" s="2" t="n"/>
      <c r="H1" s="2" t="n"/>
    </row>
    <row r="2">
      <c r="A2" s="17" t="inlineStr">
        <is>
          <t>Trạm 2. Chấm 0 / 1 / 2 điểm cho mỗi câu, theo THỰC TẾ HÔM NAY.</t>
        </is>
      </c>
    </row>
    <row r="4">
      <c r="A4" s="7" t="inlineStr">
        <is>
          <t>A. ATTRIBUTION — bạn đo được kết quả là do AI tạo ra không?</t>
        </is>
      </c>
      <c r="B4" s="10" t="n"/>
      <c r="C4" s="10" t="n"/>
      <c r="D4" s="10" t="n"/>
      <c r="E4" s="10" t="n"/>
      <c r="F4" s="10" t="n"/>
      <c r="G4" s="10" t="n"/>
      <c r="H4" s="10" t="n"/>
    </row>
    <row r="5">
      <c r="A5" s="14" t="inlineStr">
        <is>
          <t>1. Tôi có log đầy đủ mỗi job AI xử lý, gắn được với kết quả cuối cùng</t>
        </is>
      </c>
      <c r="B5" s="13" t="n">
        <v>2</v>
      </c>
    </row>
    <row r="6">
      <c r="A6" s="14" t="inlineStr">
        <is>
          <t>2. Tôi có bộ eval đo được tỷ lệ AI làm đúng, có số liệu</t>
        </is>
      </c>
      <c r="B6" s="13" t="n">
        <v>2</v>
      </c>
    </row>
    <row r="7">
      <c r="A7" s="14" t="inlineStr">
        <is>
          <t>3. Khách hàng đồng ý với cách tôi định nghĩa 'thành công' của một job</t>
        </is>
      </c>
      <c r="B7" s="13" t="n">
        <v>2</v>
      </c>
    </row>
    <row r="8">
      <c r="A8" s="14" t="inlineStr">
        <is>
          <t>4. Tôi phân biệt được kết quả do AI tạo ra với kết quả do yếu tố khác</t>
        </is>
      </c>
      <c r="B8" s="13" t="n">
        <v>1</v>
      </c>
    </row>
    <row r="9">
      <c r="A9" s="14" t="inlineStr">
        <is>
          <t>5. Tôi viết được định nghĩa chặt như Intercom: cái gì tính tiền, cái gì không</t>
        </is>
      </c>
      <c r="B9" s="13" t="n">
        <v>2</v>
      </c>
    </row>
    <row r="10">
      <c r="A10" s="12" t="inlineStr">
        <is>
          <t>→ ĐIỂM ATTRIBUTION (tối đa 10)</t>
        </is>
      </c>
      <c r="B10" s="18">
        <f>SUM(B5:B9)</f>
        <v/>
      </c>
    </row>
    <row r="12">
      <c r="A12" s="7" t="inlineStr">
        <is>
          <t>B. AUTONOMY — AI tự chạy hay cần người?</t>
        </is>
      </c>
      <c r="B12" s="10" t="n"/>
      <c r="C12" s="10" t="n"/>
      <c r="D12" s="10" t="n"/>
      <c r="E12" s="10" t="n"/>
      <c r="F12" s="10" t="n"/>
      <c r="G12" s="10" t="n"/>
      <c r="H12" s="10" t="n"/>
    </row>
    <row r="13">
      <c r="A13" s="14" t="inlineStr">
        <is>
          <t>1. AI hoàn thành job từ đầu đến cuối, không cần người bấm nút giữa chừng</t>
        </is>
      </c>
      <c r="B13" s="13" t="n">
        <v>2</v>
      </c>
    </row>
    <row r="14">
      <c r="A14" s="14" t="inlineStr">
        <is>
          <t>2. Job chạy được ngoài giờ hành chính mà không ai trực</t>
        </is>
      </c>
      <c r="B14" s="13" t="n">
        <v>2</v>
      </c>
    </row>
    <row r="15">
      <c r="A15" s="14" t="inlineStr">
        <is>
          <t>3. Khi AI không chắc, nó tự chuyển tiếp đúng chỗ — không cần người phân loại</t>
        </is>
      </c>
      <c r="B15" s="13" t="n">
        <v>2</v>
      </c>
    </row>
    <row r="16">
      <c r="A16" s="14" t="inlineStr">
        <is>
          <t>4. Tỷ lệ ca phải có người can thiệp dưới 20%</t>
        </is>
      </c>
      <c r="B16" s="13" t="n">
        <v>2</v>
      </c>
    </row>
    <row r="17">
      <c r="A17" s="14" t="inlineStr">
        <is>
          <t>5. Người vận hành chỉ kiểm tra mẫu (QA), không xử lý từng ca</t>
        </is>
      </c>
      <c r="B17" s="13" t="n">
        <v>1</v>
      </c>
    </row>
    <row r="18">
      <c r="A18" s="12" t="inlineStr">
        <is>
          <t>→ ĐIỂM AUTONOMY (tối đa 10)</t>
        </is>
      </c>
      <c r="B18" s="18">
        <f>SUM(B13:B17)</f>
        <v/>
      </c>
    </row>
    <row r="20">
      <c r="A20" s="7" t="inlineStr">
        <is>
          <t>GỢI Ý CỦA MODEL</t>
        </is>
      </c>
      <c r="B20" s="10" t="n"/>
      <c r="C20" s="10" t="n"/>
      <c r="D20" s="10" t="n"/>
      <c r="E20" s="10" t="n"/>
      <c r="F20" s="10" t="n"/>
      <c r="G20" s="10" t="n"/>
      <c r="H20" s="10" t="n"/>
    </row>
    <row r="21" ht="15.75" customHeight="1" s="45">
      <c r="A21" s="12" t="inlineStr">
        <is>
          <t>→ Value Metric gợi ý</t>
        </is>
      </c>
      <c r="B21" s="26">
        <f>IF(AND(B10&gt;=7,B18&gt;=7),"OUTCOME",IF(AND(B10&gt;=7,B18&lt;7),"USAGE",IF(AND(B10&lt;7,B18&gt;=7),"USAGE (an toàn)","SEAT hoặc HYBRID")))</f>
        <v/>
      </c>
    </row>
    <row r="22" ht="15.75" customHeight="1" s="45">
      <c r="A22" s="17" t="inlineStr">
        <is>
          <t>Ngưỡng 7/10 là quy ước của bài tập, không phải chuẩn ngành — dùng để buộc bạn ra quyết định, không phải để thay bạn quyết định.</t>
        </is>
      </c>
    </row>
    <row r="23" ht="15.75" customHeight="1" s="45"/>
    <row r="24" ht="15.75" customHeight="1" s="45">
      <c r="A24" s="7" t="inlineStr">
        <is>
          <t>BENCHMARK NGƯỢC — 2 sản phẩm thật cùng loại job</t>
        </is>
      </c>
      <c r="B24" s="10" t="n"/>
      <c r="C24" s="10" t="n"/>
      <c r="D24" s="10" t="n"/>
      <c r="E24" s="10" t="n"/>
      <c r="F24" s="10" t="n"/>
      <c r="G24" s="10" t="n"/>
      <c r="H24" s="10" t="n"/>
    </row>
    <row r="25" ht="15.75" customHeight="1" s="45">
      <c r="A25" s="27" t="inlineStr">
        <is>
          <t>Tên sản phẩm</t>
        </is>
      </c>
      <c r="B25" s="27" t="inlineStr">
        <is>
          <t>Value Metric</t>
        </is>
      </c>
      <c r="C25" s="27" t="inlineStr">
        <is>
          <t>Giá công bố</t>
        </is>
      </c>
      <c r="D25" s="27" t="inlineStr">
        <is>
          <t>Link nguồn</t>
        </is>
      </c>
    </row>
    <row r="26" ht="15.75" customHeight="1" s="45">
      <c r="A26" s="5" t="inlineStr">
        <is>
          <t>Intercom Fin</t>
        </is>
      </c>
      <c r="B26" s="5" t="inlineStr">
        <is>
          <t>Outcome (Resolution)</t>
        </is>
      </c>
      <c r="C26" s="5" t="inlineStr">
        <is>
          <t>$0,99 / resolution</t>
        </is>
      </c>
      <c r="D26" s="5" t="inlineStr">
        <is>
          <t>https://fin.ai/pricing/</t>
        </is>
      </c>
    </row>
    <row r="27" ht="15.75" customHeight="1" s="45">
      <c r="A27" s="5" t="inlineStr">
        <is>
          <t>Salesforce Agentforce</t>
        </is>
      </c>
      <c r="B27" s="5" t="inlineStr">
        <is>
          <t>Hybrid (Platform fee + per Action)</t>
        </is>
      </c>
      <c r="C27" s="5" t="inlineStr">
        <is>
          <t>$5/user/tháng + $0,10/action</t>
        </is>
      </c>
      <c r="D27" s="5" t="inlineStr">
        <is>
          <t>https://salesforce.com/agentforce/pricing/</t>
        </is>
      </c>
    </row>
    <row r="28" ht="15.75" customHeight="1" s="45"/>
    <row r="29" ht="15.75" customHeight="1" s="45">
      <c r="A29" s="7" t="inlineStr">
        <is>
          <t>QUYẾT ĐỊNH CUỐI</t>
        </is>
      </c>
      <c r="B29" s="10" t="n"/>
      <c r="C29" s="10" t="n"/>
      <c r="D29" s="10" t="n"/>
      <c r="E29" s="10" t="n"/>
      <c r="F29" s="10" t="n"/>
      <c r="G29" s="10" t="n"/>
      <c r="H29" s="10" t="n"/>
    </row>
    <row r="30" ht="15.75" customHeight="1" s="45">
      <c r="A30" s="14" t="inlineStr">
        <is>
          <t>Value Metric tôi chọn</t>
        </is>
      </c>
      <c r="B30" s="5" t="inlineStr">
        <is>
          <t>Hybrid</t>
        </is>
      </c>
    </row>
    <row r="31" ht="15.75" customHeight="1" s="45">
      <c r="A31" s="14" t="inlineStr">
        <is>
          <t>Nếu KHÁC gợi ý — lý do thị trường là gì?</t>
        </is>
      </c>
      <c r="B31" s="5" t="inlineStr">
        <is>
          <t>Thị trường đại lý ô tô tại Việt Nam chưa quen trả 100% outcome thuần do ngại rủi ro biến động chi phí. Mô hình Hybrid (phí nền 1.500.000₫/tháng + 20.000₫/booking confirmed) giúp đại lý dễ lập kế hoạch ngân sách hàng tháng, đồng thời bảo đảm dòng tiền bù đắp chi phí cố định (server, DB, support) cho startup ngay từ những tháng đầu.</t>
        </is>
      </c>
    </row>
    <row r="32" ht="15.75" customHeight="1" s="45">
      <c r="A32" s="14" t="inlineStr">
        <is>
          <t>Decision Note — câu 1: tôi chọn đơn vị nào?</t>
        </is>
      </c>
      <c r="B32" s="5" t="inlineStr">
        <is>
          <t>Tôi chọn mô hình Hybrid gồm phí nền cố định 1.500.000₫/tháng/đại lý kết hợp 20.000₫/lịch bảo dưỡng xác nhận thành công (booking status = CONFIRMED).</t>
        </is>
      </c>
    </row>
    <row r="33" ht="15.75" customHeight="1" s="45">
      <c r="A33" s="14" t="inlineStr">
        <is>
          <t>Decision Note — câu 2: bằng chứng Attribution / Autonomy?</t>
        </is>
      </c>
      <c r="B33" s="5" t="inlineStr">
        <is>
          <t>Điểm Attribution đạt 9/10 (log minh bạch mã booking trên DMS và SMS brandname gửi thành công) và Autonomy đạt 9/10 (AI tự động 80% quy trình 24/7 theo smoke test 50 ca).</t>
        </is>
      </c>
    </row>
    <row r="34" ht="15.75" customHeight="1" s="45">
      <c r="A34" s="14" t="inlineStr">
        <is>
          <t>Decision Note — câu 3: mô hình này lỗ trong tình huống nào?</t>
        </is>
      </c>
      <c r="B34" s="5" t="inlineStr">
        <is>
          <t>Mô hình này lỗ khi tỷ lệ containment tụt dưới 30,5% kết hợp số lượng đại lý dưới 3, khiến doanh thu không bù nổi chi phí nhân sự QA và hạ tầng cố định.</t>
        </is>
      </c>
    </row>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5.xml><?xml version="1.0" encoding="utf-8"?>
<worksheet xmlns="http://schemas.openxmlformats.org/spreadsheetml/2006/main">
  <sheetPr>
    <outlinePr summaryBelow="1" summaryRight="1"/>
    <pageSetUpPr/>
  </sheetPr>
  <dimension ref="A1:H42"/>
  <sheetViews>
    <sheetView workbookViewId="0">
      <selection activeCell="A1" sqref="A1"/>
    </sheetView>
  </sheetViews>
  <sheetFormatPr baseColWidth="8" defaultColWidth="14.43" defaultRowHeight="15" customHeight="1"/>
  <cols>
    <col width="46" customWidth="1" style="45" min="1" max="1"/>
    <col width="16" customWidth="1" style="45" min="2" max="3"/>
    <col width="54" customWidth="1" style="45" min="4" max="4"/>
    <col width="15" customWidth="1" style="45" min="5" max="8"/>
    <col width="8.710000000000001" customWidth="1" style="45" min="9" max="26"/>
  </cols>
  <sheetData>
    <row r="1" ht="24" customHeight="1" s="45">
      <c r="A1" s="1" t="inlineStr">
        <is>
          <t>TAB 4 — CHANNEL FIT &amp; AFFORDABILITY TEST</t>
        </is>
      </c>
      <c r="B1" s="2" t="n"/>
      <c r="C1" s="2" t="n"/>
      <c r="D1" s="2" t="n"/>
      <c r="E1" s="2" t="n"/>
      <c r="F1" s="2" t="n"/>
      <c r="G1" s="2" t="n"/>
      <c r="H1" s="2" t="n"/>
    </row>
    <row r="2">
      <c r="A2" s="17" t="inlineStr">
        <is>
          <t>Trạm 4. Chọn ĐÚNG 1 kênh cho 90 ngày đầu — và chứng minh bằng số.</t>
        </is>
      </c>
    </row>
    <row r="4">
      <c r="A4" s="7" t="inlineStr">
        <is>
          <t>A. NGÂN SÁCH CAC — bạn nuôi nổi kênh nào?</t>
        </is>
      </c>
      <c r="B4" s="10" t="n"/>
      <c r="C4" s="10" t="n"/>
      <c r="D4" s="10" t="n"/>
      <c r="E4" s="10" t="n"/>
      <c r="F4" s="10" t="n"/>
      <c r="G4" s="10" t="n"/>
      <c r="H4" s="10" t="n"/>
    </row>
    <row r="5">
      <c r="A5" s="14" t="inlineStr">
        <is>
          <t>ARPU / tháng ($)</t>
        </is>
      </c>
      <c r="B5" s="25" t="n">
        <v>374</v>
      </c>
    </row>
    <row r="6">
      <c r="A6" s="14" t="inlineStr">
        <is>
          <t>Gross Margin (từ tab 2_Pricing)</t>
        </is>
      </c>
      <c r="B6" s="34">
        <f>'2_Pricing'!B21</f>
        <v/>
      </c>
    </row>
    <row r="7">
      <c r="A7" s="14" t="inlineStr">
        <is>
          <t>Phân khúc (SMB / Mid / Enterprise)</t>
        </is>
      </c>
      <c r="B7" s="13" t="inlineStr">
        <is>
          <t>SMB</t>
        </is>
      </c>
    </row>
    <row r="8">
      <c r="A8" s="14" t="inlineStr">
        <is>
          <t>→ CAC payback cho phép (tháng)</t>
        </is>
      </c>
      <c r="B8" s="19">
        <f>IF(B7="SMB",12,IF(B7="Mid",18,24))</f>
        <v/>
      </c>
      <c r="C8" s="17" t="inlineStr">
        <is>
          <t>tháng</t>
        </is>
      </c>
      <c r="D8" s="17" t="inlineStr">
        <is>
          <t>Bessemer, Scaling to $100M (2024)</t>
        </is>
      </c>
    </row>
    <row r="9">
      <c r="A9" s="12" t="inlineStr">
        <is>
          <t>★ NGÂN SÁCH CAC / khách</t>
        </is>
      </c>
      <c r="B9" s="35">
        <f>B5*B6*B8</f>
        <v/>
      </c>
      <c r="D9" s="17" t="inlineStr">
        <is>
          <t>ARPU × GM × số tháng payback</t>
        </is>
      </c>
    </row>
    <row r="10">
      <c r="A10" s="14" t="inlineStr">
        <is>
          <t>→ ACV (giá trị hợp đồng / năm)</t>
        </is>
      </c>
      <c r="B10" s="37">
        <f>B5*12</f>
        <v/>
      </c>
    </row>
    <row r="12">
      <c r="A12" s="7" t="inlineStr">
        <is>
          <t>B. SALES VIABILITY — một AE phải chốt bao nhiêu deal?</t>
        </is>
      </c>
      <c r="B12" s="10" t="n"/>
      <c r="C12" s="10" t="n"/>
      <c r="D12" s="10" t="n"/>
      <c r="E12" s="10" t="n"/>
      <c r="F12" s="10" t="n"/>
      <c r="G12" s="10" t="n"/>
      <c r="H12" s="10" t="n"/>
    </row>
    <row r="13">
      <c r="A13" s="14" t="inlineStr">
        <is>
          <t>Quota / AE / năm ($)</t>
        </is>
      </c>
      <c r="B13" s="25" t="n">
        <v>500000</v>
      </c>
      <c r="D13" s="17" t="inlineStr">
        <is>
          <t>Giả định gốc của Tunguz (2016) — thay bằng số thị trường bạn</t>
        </is>
      </c>
    </row>
    <row r="14">
      <c r="A14" s="14" t="inlineStr">
        <is>
          <t>Số ngày làm việc / năm</t>
        </is>
      </c>
      <c r="B14" s="15" t="n">
        <v>250</v>
      </c>
      <c r="C14" s="17" t="inlineStr">
        <is>
          <t>ngày</t>
        </is>
      </c>
    </row>
    <row r="15">
      <c r="A15" s="14" t="inlineStr">
        <is>
          <t>→ Số deal / AE / năm</t>
        </is>
      </c>
      <c r="B15" s="19">
        <f>IF(B10=0,0,B13/B10)</f>
        <v/>
      </c>
    </row>
    <row r="16">
      <c r="A16" s="12" t="inlineStr">
        <is>
          <t>★ Số deal / AE / NGÀY</t>
        </is>
      </c>
      <c r="B16" s="38">
        <f>IF(B14=0,0,B15/B14)</f>
        <v/>
      </c>
      <c r="C16" s="17" t="inlineStr">
        <is>
          <t>deal/ngày</t>
        </is>
      </c>
    </row>
    <row r="17">
      <c r="A17" s="14" t="inlineStr">
        <is>
          <t>→ Kết luận Sales-Led</t>
        </is>
      </c>
      <c r="B17" s="8">
        <f>IF(B16&lt;=1,"KHẢ THI về mặt số học","BẤT KHẢ THI — ACV quá thấp để nuôi sales rep")</f>
        <v/>
      </c>
    </row>
    <row r="19">
      <c r="A19" s="7" t="inlineStr">
        <is>
          <t>C. ĐỐI CHIẾU CAC THỰC TẾ CỦA MOTION CÓ SALES</t>
        </is>
      </c>
      <c r="B19" s="10" t="n"/>
      <c r="C19" s="10" t="n"/>
      <c r="D19" s="10" t="n"/>
      <c r="E19" s="10" t="n"/>
      <c r="F19" s="10" t="n"/>
      <c r="G19" s="10" t="n"/>
      <c r="H19" s="10" t="n"/>
    </row>
    <row r="20">
      <c r="A20" s="14" t="inlineStr">
        <is>
          <t>Cost per opportunity ($)</t>
        </is>
      </c>
      <c r="B20" s="25" t="n">
        <v>8000</v>
      </c>
      <c r="D20" s="17" t="inlineStr">
        <is>
          <t>ICONIQ 2026 theo phân khúc: $6.300 · $8.000 · $11.200</t>
        </is>
      </c>
    </row>
    <row r="21" ht="15.75" customHeight="1" s="45">
      <c r="A21" s="14" t="inlineStr">
        <is>
          <t>Win rate</t>
        </is>
      </c>
      <c r="B21" s="16" t="n">
        <v>0.25</v>
      </c>
    </row>
    <row r="22" ht="15.75" customHeight="1" s="45">
      <c r="A22" s="14" t="inlineStr">
        <is>
          <t>→ CAC thực tế ước tính / khách</t>
        </is>
      </c>
      <c r="B22" s="37">
        <f>IF(B21=0,0,B20/B21)</f>
        <v/>
      </c>
    </row>
    <row r="23" ht="15.75" customHeight="1" s="45">
      <c r="A23" s="12" t="inlineStr">
        <is>
          <t>★ Lệch bao nhiêu lần so với ngân sách CAC?</t>
        </is>
      </c>
      <c r="B23" s="39">
        <f>IF(B9=0,0,B22/B9)</f>
        <v/>
      </c>
      <c r="D23" s="17" t="inlineStr">
        <is>
          <t>Đây là bằng chứng chọn kênh của bạn</t>
        </is>
      </c>
    </row>
    <row r="24" ht="15.75" customHeight="1" s="45">
      <c r="A24" s="14" t="inlineStr">
        <is>
          <t>→ Kết luận</t>
        </is>
      </c>
      <c r="B24" s="8">
        <f>IF(B23&lt;=1,"Motion có sales KHẢ THI",IF(B23&lt;=3,"Căng — cần tăng giá hoặc giảm chi phí bán hàng","KHÔNG KHẢ THI — đi PLG hoặc Partner-Led"))</f>
        <v/>
      </c>
    </row>
    <row r="25" ht="15.75" customHeight="1" s="45"/>
    <row r="26" ht="15.75" customHeight="1" s="45">
      <c r="A26" s="7" t="inlineStr">
        <is>
          <t>D. CHẤM ĐIỂM 3 KÊNH (1 = rất kém, 5 = rất tốt)</t>
        </is>
      </c>
      <c r="B26" s="10" t="n"/>
      <c r="C26" s="10" t="n"/>
      <c r="D26" s="10" t="n"/>
      <c r="E26" s="10" t="n"/>
      <c r="F26" s="10" t="n"/>
      <c r="G26" s="10" t="n"/>
      <c r="H26" s="10" t="n"/>
    </row>
    <row r="27" ht="15.75" customHeight="1" s="45">
      <c r="A27" s="27" t="inlineStr">
        <is>
          <t>Tiêu chí</t>
        </is>
      </c>
      <c r="B27" s="27" t="inlineStr">
        <is>
          <t>PLG</t>
        </is>
      </c>
      <c r="C27" s="27" t="inlineStr">
        <is>
          <t>Sales-Led</t>
        </is>
      </c>
      <c r="D27" s="27" t="inlineStr">
        <is>
          <t>Partner-Led</t>
        </is>
      </c>
    </row>
    <row r="28" ht="15.75" customHeight="1" s="45">
      <c r="A28" s="14" t="inlineStr">
        <is>
          <t>1. Ngân sách CAC của tôi nuôi nổi kênh này</t>
        </is>
      </c>
      <c r="B28" s="13" t="n">
        <v>4</v>
      </c>
      <c r="C28" s="13" t="n">
        <v>1</v>
      </c>
      <c r="D28" s="13" t="n">
        <v>5</v>
      </c>
    </row>
    <row r="29" ht="15.75" customHeight="1" s="45">
      <c r="A29" s="14" t="inlineStr">
        <is>
          <t>2. Khách hàng mục tiêu thực sự mua theo cách này</t>
        </is>
      </c>
      <c r="B29" s="13" t="n">
        <v>2</v>
      </c>
      <c r="C29" s="13" t="n">
        <v>3</v>
      </c>
      <c r="D29" s="13" t="n">
        <v>5</v>
      </c>
    </row>
    <row r="30" ht="15.75" customHeight="1" s="45">
      <c r="A30" s="14" t="inlineStr">
        <is>
          <t>3. Đội hiện tại có năng lực chạy kênh này ngay</t>
        </is>
      </c>
      <c r="B30" s="13" t="n">
        <v>2</v>
      </c>
      <c r="C30" s="13" t="n">
        <v>2</v>
      </c>
      <c r="D30" s="13" t="n">
        <v>4</v>
      </c>
    </row>
    <row r="31" ht="15.75" customHeight="1" s="45">
      <c r="A31" s="14" t="inlineStr">
        <is>
          <t>4. Tôi tiếp cận được điểm nhúng / partner trong 30 ngày</t>
        </is>
      </c>
      <c r="B31" s="13" t="n">
        <v>2</v>
      </c>
      <c r="C31" s="13" t="n">
        <v>2</v>
      </c>
      <c r="D31" s="13" t="n">
        <v>4</v>
      </c>
    </row>
    <row r="32" ht="15.75" customHeight="1" s="45">
      <c r="A32" s="14" t="inlineStr">
        <is>
          <t>5. Kênh này đưa tôi đến ĐÚNG Pain Moment</t>
        </is>
      </c>
      <c r="B32" s="13" t="n">
        <v>3</v>
      </c>
      <c r="C32" s="13" t="n">
        <v>3</v>
      </c>
      <c r="D32" s="13" t="n">
        <v>5</v>
      </c>
    </row>
    <row r="33" ht="15.75" customHeight="1" s="45">
      <c r="A33" s="14" t="inlineStr">
        <is>
          <t>6. Tôi đo được hiệu quả trong vòng 90 ngày</t>
        </is>
      </c>
      <c r="B33" s="13" t="n">
        <v>3</v>
      </c>
      <c r="C33" s="13" t="n">
        <v>2</v>
      </c>
      <c r="D33" s="13" t="n">
        <v>5</v>
      </c>
    </row>
    <row r="34" ht="15.75" customHeight="1" s="45">
      <c r="A34" s="12" t="inlineStr">
        <is>
          <t>→ TỔNG ĐIỂM</t>
        </is>
      </c>
      <c r="B34" s="26">
        <f>SUM(B28:B33)</f>
        <v/>
      </c>
      <c r="C34" s="26">
        <f>SUM(C28:C33)</f>
        <v/>
      </c>
      <c r="D34" s="26">
        <f>SUM(D28:D33)</f>
        <v/>
      </c>
    </row>
    <row r="35" ht="15.75" customHeight="1" s="45">
      <c r="A35" s="12" t="inlineStr">
        <is>
          <t>→ Kênh điểm cao nhất</t>
        </is>
      </c>
      <c r="B35" s="26">
        <f>IF(AND(B34&gt;=C34,B34&gt;=D34),"PLG",IF(C34&gt;=D34,"Sales-Led","Partner-Led"))</f>
        <v/>
      </c>
    </row>
    <row r="36" ht="15.75" customHeight="1" s="45"/>
    <row r="37" ht="15.75" customHeight="1" s="45">
      <c r="A37" s="7" t="inlineStr">
        <is>
          <t>E. CHỐT KÊNH</t>
        </is>
      </c>
      <c r="B37" s="10" t="n"/>
      <c r="C37" s="10" t="n"/>
      <c r="D37" s="10" t="n"/>
      <c r="E37" s="10" t="n"/>
      <c r="F37" s="10" t="n"/>
      <c r="G37" s="10" t="n"/>
      <c r="H37" s="10" t="n"/>
    </row>
    <row r="38" ht="15.75" customHeight="1" s="45">
      <c r="A38" s="14" t="inlineStr">
        <is>
          <t>★ Kênh tôi chọn cho 90 ngày đầu</t>
        </is>
      </c>
      <c r="B38" s="5" t="inlineStr">
        <is>
          <t>Partner-Led</t>
        </is>
      </c>
      <c r="D38" s="17" t="inlineStr">
        <is>
          <t>ĐÚNG 1 kênh. Chọn 2 kênh trở lên bị trừ điểm.</t>
        </is>
      </c>
    </row>
    <row r="39" ht="15.75" customHeight="1" s="45">
      <c r="A39" s="14" t="inlineStr">
        <is>
          <t>Nếu Partner-Led: TÊN CÔNG TY partner</t>
        </is>
      </c>
      <c r="B39" s="5" t="inlineStr">
        <is>
          <t>VinFast Vietnam (Bộ phận Dịch vụ Hậu mãi &amp; Mạng lưới Đại lý - Aftersales &amp; Dealer Network)</t>
        </is>
      </c>
      <c r="D39" s="17" t="inlineStr">
        <is>
          <t>'Các nền tảng trong ngành' = chưa có kênh</t>
        </is>
      </c>
    </row>
    <row r="40" ht="15.75" customHeight="1" s="45">
      <c r="A40" s="14" t="inlineStr">
        <is>
          <t>Đã nói chuyện với họ chưa? (Rồi / Chưa)</t>
        </is>
      </c>
      <c r="B40" s="5" t="inlineStr">
        <is>
          <t>Chưa</t>
        </is>
      </c>
    </row>
    <row r="41" ht="15.75" customHeight="1" s="45">
      <c r="A41" s="14" t="inlineStr">
        <is>
          <t>Bạn mang lại giá trị gì cho partner?</t>
        </is>
      </c>
      <c r="B41" s="5" t="inlineStr">
        <is>
          <t>Giúp VinFast chuẩn hóa quy trình tiếp nhận dịch vụ sau bán hàng của toàn bộ mạng lưới 400+ đại lý/xưởng dịch vụ, tăng tỷ lệ giữ chân khách hàng xe điện, giảm quá tải hotline tổng đài, và cung cấp dashboard thời gian thực đo lường chỉ số CSAT &amp; tỷ lệ chuyển đổi dịch vụ.</t>
        </is>
      </c>
    </row>
    <row r="42" ht="15.75" customHeight="1" s="45">
      <c r="A42" s="14" t="inlineStr">
        <is>
          <t>Nếu rơi vào vùng không khả thi — lối thoát nào?</t>
        </is>
      </c>
      <c r="B42" s="5" t="inlineStr">
        <is>
          <t>Nếu kênh Partner-Led bị chậm do thủ tục nội bộ VinFast, lối thoát dự phòng là chuyển sang Founder-Led Direct Sales tiếp cận trực tiếp 3–5 chủ đại lý 3S tư nhân lớn tại Hà Nội/TP.HCM (mô hình hybrid sales tập trung vào ROI ngắn hạn) trước khi ký phân phối toàn hệ thống.</t>
        </is>
      </c>
      <c r="D42" s="17" t="inlineStr">
        <is>
          <t>Giảm giá để tự phục vụ / tăng giá + service / Partner-Led</t>
        </is>
      </c>
    </row>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dataValidations count="1">
    <dataValidation sqref="B7" showDropDown="0" showInputMessage="0" showErrorMessage="0" allowBlank="1" type="list">
      <formula1>"SMB,Mid,Enterprise"</formula1>
    </dataValidation>
  </dataValidations>
  <pageMargins left="0.75" right="0.75" top="1" bottom="1" header="0" footer="0"/>
  <pageSetup orientation="portrait" paperSize="9"/>
</worksheet>
</file>

<file path=xl/worksheets/sheet6.xml><?xml version="1.0" encoding="utf-8"?>
<worksheet xmlns="http://schemas.openxmlformats.org/spreadsheetml/2006/main">
  <sheetPr>
    <outlinePr summaryBelow="1" summaryRight="1"/>
    <pageSetUpPr/>
  </sheetPr>
  <dimension ref="A1:H32"/>
  <sheetViews>
    <sheetView workbookViewId="0">
      <selection activeCell="A1" sqref="A1"/>
    </sheetView>
  </sheetViews>
  <sheetFormatPr baseColWidth="8" defaultColWidth="14.43" defaultRowHeight="15" customHeight="1"/>
  <cols>
    <col width="30" customWidth="1" style="45" min="1" max="1"/>
    <col width="34" customWidth="1" style="45" min="2" max="4"/>
    <col width="15" customWidth="1" style="45" min="5" max="8"/>
    <col width="8.710000000000001" customWidth="1" style="45" min="9" max="26"/>
  </cols>
  <sheetData>
    <row r="1" ht="24" customHeight="1" s="45">
      <c r="A1" s="1" t="inlineStr">
        <is>
          <t>TAB 5 — PAIN MOMENT · 90-DAY PLAN · EVIDENCE PACK</t>
        </is>
      </c>
      <c r="B1" s="2" t="n"/>
      <c r="C1" s="2" t="n"/>
      <c r="D1" s="2" t="n"/>
      <c r="E1" s="2" t="n"/>
      <c r="F1" s="2" t="n"/>
      <c r="G1" s="2" t="n"/>
      <c r="H1" s="2" t="n"/>
    </row>
    <row r="2">
      <c r="A2" s="17" t="inlineStr">
        <is>
          <t>Trạm 5 và Trạm 6.</t>
        </is>
      </c>
    </row>
    <row r="4">
      <c r="A4" s="7" t="inlineStr">
        <is>
          <t>A. PAIN MOMENT — phải đủ 3 phần</t>
        </is>
      </c>
      <c r="B4" s="10" t="n"/>
      <c r="C4" s="10" t="n"/>
      <c r="D4" s="10" t="n"/>
      <c r="E4" s="10" t="n"/>
      <c r="F4" s="10" t="n"/>
      <c r="G4" s="10" t="n"/>
      <c r="H4" s="10" t="n"/>
    </row>
    <row r="5">
      <c r="A5" s="14" t="inlineStr">
        <is>
          <t>MẤY GIỜ khách đau nhất?</t>
        </is>
      </c>
      <c r="B5" s="5" t="inlineStr">
        <is>
          <t>Thứ 7, từ 08h30 đến 10h30 sáng (khung giờ cao điểm khách hẹn xe cuối tuần)</t>
        </is>
      </c>
    </row>
    <row r="6">
      <c r="A6" s="14" t="inlineStr">
        <is>
          <t>Lúc đó họ ĐANG LÀM GÌ?</t>
        </is>
      </c>
      <c r="B6" s="5" t="inlineStr">
        <is>
          <t>Nhân viên CSKH vừa nghe điện thoại tư vấn vừa mở phần mềm DMS tra slot kỹ thuật viên, trong khi 2 khách khác nhắn dồn dập trên Zalo OA hỏi lịch trống cuối tuần không được phản hồi kịp thời và thoát ra.</t>
        </is>
      </c>
    </row>
    <row r="7">
      <c r="A7" s="14" t="inlineStr">
        <is>
          <t>Họ đang DÙNG APP / KÊNH NÀO?</t>
        </is>
      </c>
      <c r="B7" s="5" t="inlineStr">
        <is>
          <t>Zalo OA đại lý, Hotline điện thoại và phần mềm DMS</t>
        </is>
      </c>
    </row>
    <row r="8">
      <c r="A8" s="14" t="inlineStr">
        <is>
          <t>→ Điểm nhúng cụ thể của bạn</t>
        </is>
      </c>
      <c r="B8" s="5" t="inlineStr">
        <is>
          <t>Zalo Official Account (OA) Webhook &amp; Facebook Messenger Fanpage của Đại lý, tích hợp trực tiếp 2 chiều qua API với DMS để kiểm tra và khóa slot kỹ thuật viên theo thời gian thực.</t>
        </is>
      </c>
      <c r="D8" s="17" t="inlineStr">
        <is>
          <t>Một bề mặt tích hợp có tên, không phải 'website của chúng tôi'</t>
        </is>
      </c>
    </row>
    <row r="10">
      <c r="A10" s="7" t="inlineStr">
        <is>
          <t>B. 90-DAY PLAN</t>
        </is>
      </c>
      <c r="B10" s="10" t="n"/>
      <c r="C10" s="10" t="n"/>
      <c r="D10" s="10" t="n"/>
      <c r="E10" s="10" t="n"/>
      <c r="F10" s="10" t="n"/>
      <c r="G10" s="10" t="n"/>
      <c r="H10" s="10" t="n"/>
    </row>
    <row r="11">
      <c r="A11" s="27" t="n"/>
      <c r="B11" s="27" t="inlineStr">
        <is>
          <t>THÁNG 1 — Học</t>
        </is>
      </c>
      <c r="C11" s="27" t="inlineStr">
        <is>
          <t>THÁNG 2–3 — Đòn bẩy</t>
        </is>
      </c>
      <c r="D11" s="27" t="inlineStr">
        <is>
          <t>THÁNG 4+ — Mở rộng</t>
        </is>
      </c>
    </row>
    <row r="12" ht="30" customHeight="1" s="45">
      <c r="A12" s="14" t="inlineStr">
        <is>
          <t>Kênh sử dụng</t>
        </is>
      </c>
      <c r="B12" s="41" t="inlineStr">
        <is>
          <t>Founder-led Pilot trực tiếp</t>
        </is>
      </c>
      <c r="C12" s="41" t="inlineStr">
        <is>
          <t>Partner-Led (VinFast Aftersales)</t>
        </is>
      </c>
      <c r="D12" s="41" t="inlineStr">
        <is>
          <t>Mở rộng đại lý toàn quốc</t>
        </is>
      </c>
    </row>
    <row r="13" ht="30" customHeight="1" s="45">
      <c r="A13" s="14" t="inlineStr">
        <is>
          <t>Mục tiêu số khách</t>
        </is>
      </c>
      <c r="B13" s="41" t="inlineStr">
        <is>
          <t>2 đại lý 3S thí điểm</t>
        </is>
      </c>
      <c r="C13" s="41" t="inlineStr">
        <is>
          <t>5 đại lý ủy quyền</t>
        </is>
      </c>
      <c r="D13" s="41" t="inlineStr">
        <is>
          <t>15 đại lý mở rộng</t>
        </is>
      </c>
    </row>
    <row r="14" ht="30" customHeight="1" s="45">
      <c r="A14" s="14" t="inlineStr">
        <is>
          <t>Việc cụ thể 1</t>
        </is>
      </c>
      <c r="B14" s="41" t="inlineStr">
        <is>
          <t>Deploy chatbot Zalo OA cho 2 đại lý quen thuộc, theo dõi log từng booking</t>
        </is>
      </c>
      <c r="C14" s="41" t="inlineStr">
        <is>
          <t>Hoàn thiện Pilot Report có số liệu thực tế gửi Giám đốc Aftersales VinFast</t>
        </is>
      </c>
      <c r="D14" s="41" t="inlineStr">
        <is>
          <t>Đóng gói bộ cài đặt chuẩn (plug &amp; play) kết nối DMS toàn bộ mạng lưới</t>
        </is>
      </c>
    </row>
    <row r="15" ht="30" customHeight="1" s="45">
      <c r="A15" s="14" t="inlineStr">
        <is>
          <t>Việc cụ thể 2</t>
        </is>
      </c>
      <c r="B15" s="41" t="inlineStr">
        <is>
          <t>Ngồi trực tiếp cùng nhân viên CSKH 2 buổi/tuần để ghi nhận edge case và bổ sung few-shot prompt</t>
        </is>
      </c>
      <c r="C15" s="41" t="inlineStr">
        <is>
          <t>Thuyết trình demo tại Hội nghị Giám đốc Dịch vụ Đại lý VinFast miền Bắc</t>
        </is>
      </c>
      <c r="D15" s="41" t="inlineStr">
        <is>
          <t>Tổ chức webinar đào tạo trực tuyến cho 50+ Trưởng xưởng dịch vụ</t>
        </is>
      </c>
    </row>
    <row r="16" ht="30" customHeight="1" s="45">
      <c r="A16" s="14" t="inlineStr">
        <is>
          <t>Việc cụ thể 3</t>
        </is>
      </c>
      <c r="B16" s="41" t="inlineStr">
        <is>
          <t>Đo lường containment rate thực tế trên 200 lượt booking đầu tiên và tối ưu cache</t>
        </is>
      </c>
      <c r="C16" s="41" t="inlineStr">
        <is>
          <t>Ký thỏa thuận đối tác giải pháp chính thức với bộ phận Aftersales VinFast</t>
        </is>
      </c>
      <c r="D16" s="41" t="inlineStr">
        <is>
          <t>Thiết lập kênh hỗ trợ kỹ thuật cấp 2 (L2 support) và cam kết SLA 99.9%</t>
        </is>
      </c>
    </row>
    <row r="17" ht="30" customHeight="1" s="45">
      <c r="A17" s="14" t="inlineStr">
        <is>
          <t>KPI đo được</t>
        </is>
      </c>
      <c r="B17" s="41" t="inlineStr">
        <is>
          <t>200 booking, CR ≥ 75%, 0 lỗi trùng lịch hẹn</t>
        </is>
      </c>
      <c r="C17" s="41" t="inlineStr">
        <is>
          <t>5 đại lý active, 2.000 booking/tháng, GM ≥ 60%</t>
        </is>
      </c>
      <c r="D17" s="41" t="inlineStr">
        <is>
          <t>15 đại lý, 6.000 booking/tháng, MRR &gt; 140 triệu VNĐ</t>
        </is>
      </c>
    </row>
    <row r="18" ht="30" customHeight="1" s="45">
      <c r="A18" s="14" t="inlineStr">
        <is>
          <t>Người chịu trách nhiệm</t>
        </is>
      </c>
      <c r="B18" s="41" t="inlineStr">
        <is>
          <t>Nguyễn Văn An (Founder / AI Lead)</t>
        </is>
      </c>
      <c r="C18" s="41" t="inlineStr">
        <is>
          <t>Nguyễn Văn An + Advisor quan hệ đối tác</t>
        </is>
      </c>
      <c r="D18" s="41" t="inlineStr">
        <is>
          <t>Nguyễn Văn An + Kỹ sư Triển khai (Deploy Engineer)</t>
        </is>
      </c>
    </row>
    <row r="19">
      <c r="A19" s="17" t="inlineStr">
        <is>
          <t>Tháng 1 là giai đoạn HỌC, không phải scale. Kế hoạch 'tháng 1 lấy 200 khách ở 5 ngành' là kế hoạch chưa ai từng thử làm.</t>
        </is>
      </c>
    </row>
    <row r="21" ht="15.75" customHeight="1" s="45">
      <c r="A21" s="7" t="inlineStr">
        <is>
          <t>C. EVIDENCE PACK — 3 tài sản bán hàng</t>
        </is>
      </c>
      <c r="B21" s="10" t="n"/>
      <c r="C21" s="10" t="n"/>
      <c r="D21" s="10" t="n"/>
      <c r="E21" s="10" t="n"/>
      <c r="F21" s="10" t="n"/>
      <c r="G21" s="10" t="n"/>
      <c r="H21" s="10" t="n"/>
    </row>
    <row r="22" ht="15.75" customHeight="1" s="45">
      <c r="A22" s="27" t="inlineStr">
        <is>
          <t>Tài sản</t>
        </is>
      </c>
      <c r="B22" s="27" t="inlineStr">
        <is>
          <t>Đã có? (Rồi/Chưa)</t>
        </is>
      </c>
      <c r="C22" s="27" t="inlineStr">
        <is>
          <t>Nội dung 1 câu — hoặc việc cần làm</t>
        </is>
      </c>
      <c r="D22" s="27" t="inlineStr">
        <is>
          <t>Người phụ trách · Deadline</t>
        </is>
      </c>
    </row>
    <row r="23" ht="33.75" customHeight="1" s="45">
      <c r="A23" s="14" t="inlineStr">
        <is>
          <t xml:space="preserve">1. Eval Results </t>
        </is>
      </c>
      <c r="B23" s="41" t="inlineStr">
        <is>
          <t>Chưa</t>
        </is>
      </c>
      <c r="C23" s="41" t="inlineStr">
        <is>
          <t>Eval trên 50 ca smoke test đạt CR 80%; cần chạy eval chuẩn hóa trên 200 ca thực tế đại lý (đo intent, slot accuracy, handoff rate).</t>
        </is>
      </c>
      <c r="D23" s="41" t="inlineStr">
        <is>
          <t>Nguyễn Văn An · 15/11/2026</t>
        </is>
      </c>
    </row>
    <row r="24" ht="33.75" customHeight="1" s="45">
      <c r="A24" s="14" t="inlineStr">
        <is>
          <t xml:space="preserve">2. Risk Checklist </t>
        </is>
      </c>
      <c r="B24" s="41" t="inlineStr">
        <is>
          <t>Rồi</t>
        </is>
      </c>
      <c r="C24" s="41" t="inlineStr">
        <is>
          <t>Đã hoàn thiện tài liệu giải trình 3 rủi ro: Anthropic API không train data, cơ chế fallback CSKH khi confidence &lt; 85%, data xuất SQL độc lập trên Supabase.</t>
        </is>
      </c>
      <c r="D24" s="41" t="inlineStr">
        <is>
          <t>Nguyễn Văn An · 08/10/2026</t>
        </is>
      </c>
    </row>
    <row r="25" ht="33.75" customHeight="1" s="45">
      <c r="A25" s="14" t="inlineStr">
        <is>
          <t>3. Pilot Report</t>
        </is>
      </c>
      <c r="B25" s="41" t="inlineStr">
        <is>
          <t>Chưa</t>
        </is>
      </c>
      <c r="C25" s="41" t="inlineStr">
        <is>
          <t>Báo cáo kết quả thí điểm 4 tuần tại 2 đại lý: 200 booking, CR 80%, tiết kiệm 20h CSKH/tuần, tăng 15% booking dịch vụ ngoài giờ.</t>
        </is>
      </c>
      <c r="D25" s="41" t="inlineStr">
        <is>
          <t>Nguyễn Văn An · 30/11/2026</t>
        </is>
      </c>
    </row>
    <row r="26" ht="15.75" customHeight="1" s="45">
      <c r="A26" s="17" t="inlineStr">
        <is>
          <t>Ô nào CHƯA CÓ thì ghi deadline — đừng bỏ trống. Thành thật về khoảng trống được điểm cao hơn bịa nội dung.</t>
        </is>
      </c>
    </row>
    <row r="27" ht="15.75" customHeight="1" s="45"/>
    <row r="28" ht="15.75" customHeight="1" s="45">
      <c r="A28" s="7" t="inlineStr">
        <is>
          <t>D. BÀI TEST NGƯỜI LẠ — nhóm khác đọc One-Pager trong 2 phút</t>
        </is>
      </c>
      <c r="B28" s="10" t="n"/>
      <c r="C28" s="10" t="n"/>
      <c r="D28" s="10" t="n"/>
      <c r="E28" s="10" t="n"/>
      <c r="F28" s="10" t="n"/>
      <c r="G28" s="10" t="n"/>
      <c r="H28" s="10" t="n"/>
    </row>
    <row r="29" ht="15.75" customHeight="1" s="45">
      <c r="A29" s="14" t="inlineStr">
        <is>
          <t>Họ trả lời được: bán gì, cho ai, tính tiền theo đơn vị nào? (Được/Không)</t>
        </is>
      </c>
      <c r="B29" s="5" t="inlineStr">
        <is>
          <t>Được</t>
        </is>
      </c>
    </row>
    <row r="30" ht="15.75" customHeight="1" s="45">
      <c r="A30" s="14" t="inlineStr">
        <is>
          <t>Họ trả lời được: có lãi trên mỗi đơn vị không, số nào chứng minh? (Được/Không)</t>
        </is>
      </c>
      <c r="B30" s="5" t="inlineStr">
        <is>
          <t>Được</t>
        </is>
      </c>
    </row>
    <row r="31" ht="15.75" customHeight="1" s="45">
      <c r="A31" s="14" t="inlineStr">
        <is>
          <t>Họ trả lời được: tiếp cận khách qua đâu, vì sao kênh đó? (Được/Không)</t>
        </is>
      </c>
      <c r="B31" s="5" t="inlineStr">
        <is>
          <t>Được</t>
        </is>
      </c>
    </row>
    <row r="32" ht="15.75" customHeight="1" s="45">
      <c r="A32" s="14" t="inlineStr">
        <is>
          <t>Số câu họ phải hỏi lại (mục tiêu ≤ 3)</t>
        </is>
      </c>
      <c r="B32" s="5" t="n">
        <v>1</v>
      </c>
    </row>
    <row r="33" ht="15.75" customHeight="1" s="45"/>
    <row r="34" ht="15.75" customHeight="1" s="45"/>
    <row r="35" ht="15.75" customHeight="1" s="45"/>
    <row r="36" ht="15.75" customHeight="1" s="45"/>
    <row r="37" ht="15.75" customHeight="1" s="45"/>
    <row r="38" ht="15.75" customHeight="1" s="45"/>
    <row r="39" ht="15.75" customHeight="1" s="45"/>
    <row r="40" ht="15.75" customHeight="1" s="45"/>
    <row r="41" ht="15.75" customHeight="1" s="45"/>
    <row r="42" ht="15.75" customHeight="1" s="45"/>
    <row r="43" ht="15.75" customHeight="1" s="45"/>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xl/worksheets/sheet7.xml><?xml version="1.0" encoding="utf-8"?>
<worksheet xmlns="http://schemas.openxmlformats.org/spreadsheetml/2006/main">
  <sheetPr>
    <outlinePr summaryBelow="1" summaryRight="1"/>
    <pageSetUpPr/>
  </sheetPr>
  <dimension ref="A1:H43"/>
  <sheetViews>
    <sheetView workbookViewId="0">
      <selection activeCell="A1" sqref="A1"/>
    </sheetView>
  </sheetViews>
  <sheetFormatPr baseColWidth="8" defaultColWidth="14.43" defaultRowHeight="15" customHeight="1"/>
  <cols>
    <col width="26" customWidth="1" style="45" min="1" max="1"/>
    <col width="30" customWidth="1" style="45" min="2" max="2"/>
    <col width="20" customWidth="1" style="45" min="3" max="3"/>
    <col width="16" customWidth="1" style="45" min="4" max="4"/>
    <col width="56" customWidth="1" style="45" min="5" max="5"/>
    <col width="15" customWidth="1" style="45" min="6" max="8"/>
    <col width="8.710000000000001" customWidth="1" style="45" min="9" max="26"/>
  </cols>
  <sheetData>
    <row r="1" ht="24" customHeight="1" s="45">
      <c r="A1" s="1" t="inlineStr">
        <is>
          <t>TAB 6 — BENCHMARKS (CHỈ ĐỌC)</t>
        </is>
      </c>
      <c r="B1" s="2" t="n"/>
      <c r="C1" s="2" t="n"/>
      <c r="D1" s="2" t="n"/>
      <c r="E1" s="2" t="n"/>
      <c r="F1" s="2" t="n"/>
      <c r="G1" s="2" t="n"/>
      <c r="H1" s="2" t="n"/>
    </row>
    <row r="2">
      <c r="A2" s="17" t="inlineStr">
        <is>
          <t>Giá chốt ngày 26/08/2026. Dòng có ⏳ là GIÁ KHUYẾN MẠI CÓ HẠN — phải kiểm tra lại.</t>
        </is>
      </c>
    </row>
    <row r="3">
      <c r="A3" s="14" t="inlineStr">
        <is>
          <t>NGÀY BẠN KIỂM TRA LẠI GIÁ</t>
        </is>
      </c>
      <c r="B3" s="5" t="inlineStr">
        <is>
          <t>08/10/2026</t>
        </is>
      </c>
      <c r="D3" s="17" t="inlineStr">
        <is>
          <t>Bắt buộc điền — Rubric có chấm mục này</t>
        </is>
      </c>
    </row>
    <row r="5">
      <c r="A5" s="42" t="inlineStr">
        <is>
          <t>Nhóm</t>
        </is>
      </c>
      <c r="B5" s="42" t="inlineStr">
        <is>
          <t>Mục</t>
        </is>
      </c>
      <c r="C5" s="42" t="inlineStr">
        <is>
          <t>Giá</t>
        </is>
      </c>
      <c r="D5" s="42" t="inlineStr">
        <is>
          <t>Đơn vị</t>
        </is>
      </c>
      <c r="E5" s="42" t="inlineStr">
        <is>
          <t>Nguồn</t>
        </is>
      </c>
    </row>
    <row r="6">
      <c r="A6" s="43" t="inlineStr">
        <is>
          <t>LLM</t>
        </is>
      </c>
      <c r="B6" s="43" t="inlineStr">
        <is>
          <t>Claude Opus 5 — input / output</t>
        </is>
      </c>
      <c r="C6" s="43" t="inlineStr">
        <is>
          <t>5,00 / 25,00</t>
        </is>
      </c>
      <c r="D6" s="43" t="inlineStr">
        <is>
          <t>$ / 1M token</t>
        </is>
      </c>
      <c r="E6" s="44" t="inlineStr">
        <is>
          <t>platform.claude.com/docs/en/about-claude/pricing</t>
        </is>
      </c>
    </row>
    <row r="7">
      <c r="A7" s="43" t="inlineStr">
        <is>
          <t>LLM</t>
        </is>
      </c>
      <c r="B7" s="43" t="inlineStr">
        <is>
          <t>Claude Sonnet 5 — input / output</t>
        </is>
      </c>
      <c r="C7" s="43" t="inlineStr">
        <is>
          <t>2,00 / 10,00</t>
        </is>
      </c>
      <c r="D7" s="43" t="inlineStr">
        <is>
          <t>$ / 1M token</t>
        </is>
      </c>
      <c r="E7" s="44" t="inlineStr">
        <is>
          <t>platform.claude.com/docs/en/about-claude/pricing</t>
        </is>
      </c>
    </row>
    <row r="8">
      <c r="A8" s="43" t="inlineStr">
        <is>
          <t>LLM</t>
        </is>
      </c>
      <c r="B8" s="43" t="inlineStr">
        <is>
          <t>Claude Haiku 4.5 — input / output</t>
        </is>
      </c>
      <c r="C8" s="43" t="inlineStr">
        <is>
          <t>1,00 / 5,00</t>
        </is>
      </c>
      <c r="D8" s="43" t="inlineStr">
        <is>
          <t>$ / 1M token</t>
        </is>
      </c>
      <c r="E8" s="44" t="inlineStr">
        <is>
          <t>platform.claude.com/docs/en/about-claude/pricing</t>
        </is>
      </c>
    </row>
    <row r="9">
      <c r="A9" s="43" t="inlineStr">
        <is>
          <t>LLM</t>
        </is>
      </c>
      <c r="B9" s="43" t="inlineStr">
        <is>
          <t>Claude — cache write 5' / cache read</t>
        </is>
      </c>
      <c r="C9" s="43" t="inlineStr">
        <is>
          <t>1,25× / 0,10× input</t>
        </is>
      </c>
      <c r="D9" s="43" t="inlineStr">
        <is>
          <t>hệ số</t>
        </is>
      </c>
      <c r="E9" s="44" t="inlineStr">
        <is>
          <t>platform.claude.com/docs/en/about-claude/pricing</t>
        </is>
      </c>
    </row>
    <row r="10">
      <c r="A10" s="43" t="inlineStr">
        <is>
          <t>LLM</t>
        </is>
      </c>
      <c r="B10" s="43" t="inlineStr">
        <is>
          <t>⏳ OpenAI GPT-5.6 Sol — input / output</t>
        </is>
      </c>
      <c r="C10" s="43" t="inlineStr">
        <is>
          <t>4,00 / 20,00</t>
        </is>
      </c>
      <c r="D10" s="43" t="inlineStr">
        <is>
          <t>$ / 1M token</t>
        </is>
      </c>
      <c r="E10" s="44" t="inlineStr">
        <is>
          <t>developers.openai.com/api/docs/pricing (KM 21/08–21/11/2026; list 5,00/30,00)</t>
        </is>
      </c>
    </row>
    <row r="11">
      <c r="A11" s="43" t="inlineStr">
        <is>
          <t>LLM</t>
        </is>
      </c>
      <c r="B11" s="43" t="inlineStr">
        <is>
          <t>OpenAI GPT-5.6 Luna — input / output</t>
        </is>
      </c>
      <c r="C11" s="43" t="inlineStr">
        <is>
          <t>0,20 / 1,20</t>
        </is>
      </c>
      <c r="D11" s="43" t="inlineStr">
        <is>
          <t>$ / 1M token</t>
        </is>
      </c>
      <c r="E11" s="44" t="inlineStr">
        <is>
          <t>developers.openai.com/api/docs/pricing</t>
        </is>
      </c>
    </row>
    <row r="12">
      <c r="A12" s="43" t="inlineStr">
        <is>
          <t>LLM</t>
        </is>
      </c>
      <c r="B12" s="43" t="inlineStr">
        <is>
          <t>OpenAI — cached input / Batch API</t>
        </is>
      </c>
      <c r="C12" s="43" t="inlineStr">
        <is>
          <t>10% input / −50%</t>
        </is>
      </c>
      <c r="D12" s="43" t="inlineStr">
        <is>
          <t>hệ số</t>
        </is>
      </c>
      <c r="E12" s="44" t="inlineStr">
        <is>
          <t>developers.openai.com/api/docs/pricing</t>
        </is>
      </c>
    </row>
    <row r="13">
      <c r="A13" s="43" t="inlineStr">
        <is>
          <t>LLM</t>
        </is>
      </c>
      <c r="B13" s="43" t="inlineStr">
        <is>
          <t>Gemini 3.1 Pro — input / output (≤200k)</t>
        </is>
      </c>
      <c r="C13" s="43" t="inlineStr">
        <is>
          <t>2,00 / 12,00</t>
        </is>
      </c>
      <c r="D13" s="43" t="inlineStr">
        <is>
          <t>$ / 1M token</t>
        </is>
      </c>
      <c r="E13" s="44" t="inlineStr">
        <is>
          <t>ai.google.dev/gemini-api/docs/pricing</t>
        </is>
      </c>
    </row>
    <row r="14">
      <c r="A14" s="43" t="inlineStr">
        <is>
          <t>LLM</t>
        </is>
      </c>
      <c r="B14" s="43" t="inlineStr">
        <is>
          <t>⏳ Gemini 3.7 Flash — input / output</t>
        </is>
      </c>
      <c r="C14" s="43" t="inlineStr">
        <is>
          <t>0,75 / 3,75</t>
        </is>
      </c>
      <c r="D14" s="43" t="inlineStr">
        <is>
          <t>$ / 1M token</t>
        </is>
      </c>
      <c r="E14" s="44" t="inlineStr">
        <is>
          <t>ai.google.dev/gemini-api/docs/pricing (KM đến 31/12/2026; sau đó 1,50/7,50)</t>
        </is>
      </c>
    </row>
    <row r="15">
      <c r="A15" s="43" t="inlineStr">
        <is>
          <t>STT</t>
        </is>
      </c>
      <c r="B15" s="43" t="inlineStr">
        <is>
          <t>Deepgram Nova-3 — pre-recorded</t>
        </is>
      </c>
      <c r="C15" s="43" t="inlineStr">
        <is>
          <t>0,0043</t>
        </is>
      </c>
      <c r="D15" s="43" t="inlineStr">
        <is>
          <t>$ / phút</t>
        </is>
      </c>
      <c r="E15" s="44" t="inlineStr">
        <is>
          <t>deepgram.com/pricing</t>
        </is>
      </c>
    </row>
    <row r="16">
      <c r="A16" s="43" t="inlineStr">
        <is>
          <t>STT</t>
        </is>
      </c>
      <c r="B16" s="43" t="inlineStr">
        <is>
          <t>⏳ Deepgram Nova-3 — streaming</t>
        </is>
      </c>
      <c r="C16" s="43" t="inlineStr">
        <is>
          <t>list 0,0077 · KM 0,0048</t>
        </is>
      </c>
      <c r="D16" s="43" t="inlineStr">
        <is>
          <t>$ / phút</t>
        </is>
      </c>
      <c r="E16" s="44" t="inlineStr">
        <is>
          <t>deepgram.com/pricing — đang khuyến mại, kiểm tra lại</t>
        </is>
      </c>
    </row>
    <row r="17">
      <c r="A17" s="43" t="inlineStr">
        <is>
          <t>STT</t>
        </is>
      </c>
      <c r="B17" s="43" t="inlineStr">
        <is>
          <t>AssemblyAI Universal-2 — async</t>
        </is>
      </c>
      <c r="C17" s="43" t="inlineStr">
        <is>
          <t>0,0025</t>
        </is>
      </c>
      <c r="D17" s="43" t="inlineStr">
        <is>
          <t>$ / phút</t>
        </is>
      </c>
      <c r="E17" s="44" t="inlineStr">
        <is>
          <t>assemblyai.com/pricing</t>
        </is>
      </c>
    </row>
    <row r="18">
      <c r="A18" s="43" t="inlineStr">
        <is>
          <t>STT</t>
        </is>
      </c>
      <c r="B18" s="43" t="inlineStr">
        <is>
          <t>OpenAI gpt-4o-mini-transcribe</t>
        </is>
      </c>
      <c r="C18" s="43" t="inlineStr">
        <is>
          <t>0,0030</t>
        </is>
      </c>
      <c r="D18" s="43" t="inlineStr">
        <is>
          <t>$ / phút</t>
        </is>
      </c>
      <c r="E18" s="44" t="inlineStr">
        <is>
          <t>developers.openai.com/api/docs/pricing</t>
        </is>
      </c>
    </row>
    <row r="19">
      <c r="A19" s="43" t="inlineStr">
        <is>
          <t>TTS</t>
        </is>
      </c>
      <c r="B19" s="43" t="inlineStr">
        <is>
          <t>Google Cloud TTS — Standard</t>
        </is>
      </c>
      <c r="C19" s="43" t="inlineStr">
        <is>
          <t>4,00</t>
        </is>
      </c>
      <c r="D19" s="43" t="inlineStr">
        <is>
          <t>$ / 1M ký tự</t>
        </is>
      </c>
      <c r="E19" s="44" t="inlineStr">
        <is>
          <t>cloud.google.com/text-to-speech/pricing (rẻ nhất)</t>
        </is>
      </c>
    </row>
    <row r="20">
      <c r="A20" s="43" t="inlineStr">
        <is>
          <t>TTS</t>
        </is>
      </c>
      <c r="B20" s="43" t="inlineStr">
        <is>
          <t>OpenAI tts-1</t>
        </is>
      </c>
      <c r="C20" s="43" t="inlineStr">
        <is>
          <t>15,00</t>
        </is>
      </c>
      <c r="D20" s="43" t="inlineStr">
        <is>
          <t>$ / 1M ký tự</t>
        </is>
      </c>
      <c r="E20" s="44" t="inlineStr">
        <is>
          <t>developers.openai.com/api/docs/pricing</t>
        </is>
      </c>
    </row>
    <row r="21" ht="15.75" customHeight="1" s="45">
      <c r="A21" s="43" t="inlineStr">
        <is>
          <t>TTS</t>
        </is>
      </c>
      <c r="B21" s="43" t="inlineStr">
        <is>
          <t>ElevenLabs Flash / Turbo</t>
        </is>
      </c>
      <c r="C21" s="43" t="inlineStr">
        <is>
          <t>50,00</t>
        </is>
      </c>
      <c r="D21" s="43" t="inlineStr">
        <is>
          <t>$ / 1M ký tự</t>
        </is>
      </c>
      <c r="E21" s="44" t="inlineStr">
        <is>
          <t>elevenlabs.io/pricing/api</t>
        </is>
      </c>
    </row>
    <row r="22" ht="15.75" customHeight="1" s="45">
      <c r="A22" s="43" t="inlineStr">
        <is>
          <t>TTS</t>
        </is>
      </c>
      <c r="B22" s="43" t="inlineStr">
        <is>
          <t>ElevenLabs v3 / v2 Multilingual</t>
        </is>
      </c>
      <c r="C22" s="43" t="inlineStr">
        <is>
          <t>100,00</t>
        </is>
      </c>
      <c r="D22" s="43" t="inlineStr">
        <is>
          <t>$ / 1M ký tự</t>
        </is>
      </c>
      <c r="E22" s="44" t="inlineStr">
        <is>
          <t>elevenlabs.io/pricing/api</t>
        </is>
      </c>
    </row>
    <row r="23" ht="15.75" customHeight="1" s="45">
      <c r="A23" s="43" t="inlineStr">
        <is>
          <t>Quy đổi</t>
        </is>
      </c>
      <c r="B23" s="43" t="inlineStr">
        <is>
          <t>Tốc độ nói</t>
        </is>
      </c>
      <c r="C23" s="43" t="inlineStr">
        <is>
          <t>≈ 900</t>
        </is>
      </c>
      <c r="D23" s="43" t="inlineStr">
        <is>
          <t>ký tự / phút</t>
        </is>
      </c>
      <c r="E23" s="44" t="inlineStr">
        <is>
          <t>≈150 từ/phút — dùng để đổi phút ↔ ký tự</t>
        </is>
      </c>
    </row>
    <row r="24" ht="15.75" customHeight="1" s="45">
      <c r="A24" s="43" t="inlineStr">
        <is>
          <t>Lưu ý</t>
        </is>
      </c>
      <c r="B24" s="43" t="inlineStr">
        <is>
          <t>Google TTS — ký tự CJK</t>
        </is>
      </c>
      <c r="C24" s="43" t="inlineStr">
        <is>
          <t>tính là 1 ký tự</t>
        </is>
      </c>
      <c r="D24" s="43" t="inlineStr">
        <is>
          <t>—</t>
        </is>
      </c>
      <c r="E24" s="44" t="inlineStr">
        <is>
          <t>cloud.google.com/text-to-speech/pricing (KHÔNG phải ×2)</t>
        </is>
      </c>
    </row>
    <row r="25" ht="15.75" customHeight="1" s="45">
      <c r="A25" s="43" t="inlineStr">
        <is>
          <t>Lưu ý</t>
        </is>
      </c>
      <c r="B25" s="43" t="inlineStr">
        <is>
          <t>Google STT — tính theo kênh</t>
        </is>
      </c>
      <c r="C25" s="43" t="inlineStr">
        <is>
          <t>4 kênh × 120s = 480s</t>
        </is>
      </c>
      <c r="D25" s="43" t="inlineStr">
        <is>
          <t>—</t>
        </is>
      </c>
      <c r="E25" s="44" t="inlineStr">
        <is>
          <t>cloud.google.com/speech-to-text/pricing</t>
        </is>
      </c>
    </row>
    <row r="26" ht="15.75" customHeight="1" s="45">
      <c r="A26" s="43" t="inlineStr">
        <is>
          <t>Lưu ý</t>
        </is>
      </c>
      <c r="B26" s="43" t="inlineStr">
        <is>
          <t>Streaming vs async STT</t>
        </is>
      </c>
      <c r="C26" s="43" t="inlineStr">
        <is>
          <t>1× đến ~5×</t>
        </is>
      </c>
      <c r="D26" s="43" t="inlineStr">
        <is>
          <t>hệ số</t>
        </is>
      </c>
      <c r="E26" s="44" t="inlineStr">
        <is>
          <t>Tuỳ nhà cung cấp — AssemblyAI 1,0× · Google ~5×. Đừng dùng hệ số chung</t>
        </is>
      </c>
    </row>
    <row r="27" ht="15.75" customHeight="1" s="45">
      <c r="A27" s="43" t="inlineStr">
        <is>
          <t>Sản phẩm</t>
        </is>
      </c>
      <c r="B27" s="43" t="inlineStr">
        <is>
          <t>Intercom Fin — resolution</t>
        </is>
      </c>
      <c r="C27" s="43" t="inlineStr">
        <is>
          <t>0,99</t>
        </is>
      </c>
      <c r="D27" s="43" t="inlineStr">
        <is>
          <t>$ / outcome</t>
        </is>
      </c>
      <c r="E27" s="44" t="inlineStr">
        <is>
          <t>fin.ai/pricing</t>
        </is>
      </c>
    </row>
    <row r="28" ht="15.75" customHeight="1" s="45">
      <c r="A28" s="43" t="inlineStr">
        <is>
          <t>Sản phẩm</t>
        </is>
      </c>
      <c r="B28" s="43" t="inlineStr">
        <is>
          <t>Intercom Fin — qualification (sales)</t>
        </is>
      </c>
      <c r="C28" s="43" t="inlineStr">
        <is>
          <t>9,99</t>
        </is>
      </c>
      <c r="D28" s="43" t="inlineStr">
        <is>
          <t>$ / outcome</t>
        </is>
      </c>
      <c r="E28" s="44" t="inlineStr">
        <is>
          <t>fin.ai/pricing</t>
        </is>
      </c>
    </row>
    <row r="29" ht="15.75" customHeight="1" s="45">
      <c r="A29" s="43" t="inlineStr">
        <is>
          <t>Sản phẩm</t>
        </is>
      </c>
      <c r="B29" s="43" t="inlineStr">
        <is>
          <t>Zendesk — automated resolution</t>
        </is>
      </c>
      <c r="C29" s="43" t="inlineStr">
        <is>
          <t>1,50</t>
        </is>
      </c>
      <c r="D29" s="43" t="inlineStr">
        <is>
          <t>$ / resolution</t>
        </is>
      </c>
      <c r="E29" s="44" t="inlineStr">
        <is>
          <t>zendesk.com/blog/ai/agentic-ai/outcome-based-pricing/ (blog, không trên trang giá)</t>
        </is>
      </c>
    </row>
    <row r="30" ht="15.75" customHeight="1" s="45">
      <c r="A30" s="43" t="inlineStr">
        <is>
          <t>Sản phẩm</t>
        </is>
      </c>
      <c r="B30" s="43" t="inlineStr">
        <is>
          <t>Salesforce Agentforce — Flex Credit</t>
        </is>
      </c>
      <c r="C30" s="43" t="inlineStr">
        <is>
          <t>0,005 (action = 0,10)</t>
        </is>
      </c>
      <c r="D30" s="43" t="inlineStr">
        <is>
          <t>$ / credit</t>
        </is>
      </c>
      <c r="E30" s="44" t="inlineStr">
        <is>
          <t>salesforce.com/agentforce/pricing</t>
        </is>
      </c>
    </row>
    <row r="31" ht="15.75" customHeight="1" s="45">
      <c r="A31" s="43" t="inlineStr">
        <is>
          <t>Sản phẩm</t>
        </is>
      </c>
      <c r="B31" s="43" t="inlineStr">
        <is>
          <t>Salesforce Agentforce — conversation</t>
        </is>
      </c>
      <c r="C31" s="43" t="inlineStr">
        <is>
          <t>2,00</t>
        </is>
      </c>
      <c r="D31" s="43" t="inlineStr">
        <is>
          <t>$ / conversation</t>
        </is>
      </c>
      <c r="E31" s="44" t="inlineStr">
        <is>
          <t>salesforce.com/agentforce/pricing</t>
        </is>
      </c>
    </row>
    <row r="32" ht="15.75" customHeight="1" s="45">
      <c r="A32" s="43" t="inlineStr">
        <is>
          <t>Sản phẩm</t>
        </is>
      </c>
      <c r="B32" s="43" t="inlineStr">
        <is>
          <t>GitHub Copilot — AI Credit</t>
        </is>
      </c>
      <c r="C32" s="43" t="inlineStr">
        <is>
          <t>0,01</t>
        </is>
      </c>
      <c r="D32" s="43" t="inlineStr">
        <is>
          <t>$ / credit</t>
        </is>
      </c>
      <c r="E32" s="44" t="inlineStr">
        <is>
          <t>docs.github.com/en/copilot/get-started/plans</t>
        </is>
      </c>
    </row>
    <row r="33" ht="15.75" customHeight="1" s="45">
      <c r="A33" s="43" t="inlineStr">
        <is>
          <t>Sản phẩm</t>
        </is>
      </c>
      <c r="B33" s="43" t="inlineStr">
        <is>
          <t>GitHub Copilot Business / Enterprise</t>
        </is>
      </c>
      <c r="C33" s="43" t="inlineStr">
        <is>
          <t>19 / 39</t>
        </is>
      </c>
      <c r="D33" s="43" t="inlineStr">
        <is>
          <t>$ / seat / tháng</t>
        </is>
      </c>
      <c r="E33" s="44" t="inlineStr">
        <is>
          <t>docs.github.com/en/copilot/get-started/plans</t>
        </is>
      </c>
    </row>
    <row r="34" ht="15.75" customHeight="1" s="45">
      <c r="A34" s="43" t="inlineStr">
        <is>
          <t>Sản phẩm</t>
        </is>
      </c>
      <c r="B34" s="43" t="inlineStr">
        <is>
          <t>Notion — Business / credits</t>
        </is>
      </c>
      <c r="C34" s="43" t="inlineStr">
        <is>
          <t>20 / 10 per 1.000</t>
        </is>
      </c>
      <c r="D34" s="43" t="inlineStr">
        <is>
          <t>$ / member / tháng</t>
        </is>
      </c>
      <c r="E34" s="44" t="inlineStr">
        <is>
          <t>notion.com/pricing</t>
        </is>
      </c>
    </row>
    <row r="35" ht="15.75" customHeight="1" s="45">
      <c r="A35" s="43" t="inlineStr">
        <is>
          <t>Benchmark</t>
        </is>
      </c>
      <c r="B35" s="43" t="inlineStr">
        <is>
          <t>Gross Margin AI-native 2026E</t>
        </is>
      </c>
      <c r="C35" s="43" t="inlineStr">
        <is>
          <t>≈ 53%</t>
        </is>
      </c>
      <c r="D35" s="43" t="inlineStr">
        <is>
          <t>%</t>
        </is>
      </c>
      <c r="E35" s="44" t="inlineStr">
        <is>
          <t>ICONIQ, 2026 State of AI: The Builder's Economy (07/2026)</t>
        </is>
      </c>
    </row>
    <row r="36" ht="15.75" customHeight="1" s="45">
      <c r="A36" s="43" t="inlineStr">
        <is>
          <t>Benchmark</t>
        </is>
      </c>
      <c r="B36" s="43" t="inlineStr">
        <is>
          <t>Gross Margin cloud (middle 50%)</t>
        </is>
      </c>
      <c r="C36" s="43" t="inlineStr">
        <is>
          <t>60 – 80%</t>
        </is>
      </c>
      <c r="D36" s="43" t="inlineStr">
        <is>
          <t>%</t>
        </is>
      </c>
      <c r="E36" s="44" t="inlineStr">
        <is>
          <t>Bessemer, Scaling to $100 Million (2024)</t>
        </is>
      </c>
    </row>
    <row r="37" ht="15.75" customHeight="1" s="45">
      <c r="A37" s="43" t="inlineStr">
        <is>
          <t>Benchmark</t>
        </is>
      </c>
      <c r="B37" s="43" t="inlineStr">
        <is>
          <t>Vertical AI — GM / model cost</t>
        </is>
      </c>
      <c r="C37" s="43" t="inlineStr">
        <is>
          <t>≈65% / ≈10% doanh thu</t>
        </is>
      </c>
      <c r="D37" s="43" t="inlineStr">
        <is>
          <t>%</t>
        </is>
      </c>
      <c r="E37" s="44" t="inlineStr">
        <is>
          <t>Bessemer, State of the Cloud 2024</t>
        </is>
      </c>
    </row>
    <row r="38" ht="15.75" customHeight="1" s="45">
      <c r="A38" s="43" t="inlineStr">
        <is>
          <t>Benchmark</t>
        </is>
      </c>
      <c r="B38" s="43" t="inlineStr">
        <is>
          <t>CAC payback SMB / Mid / Enterprise</t>
        </is>
      </c>
      <c r="C38" s="43" t="inlineStr">
        <is>
          <t>12 / 18 / 24</t>
        </is>
      </c>
      <c r="D38" s="43" t="inlineStr">
        <is>
          <t>tháng</t>
        </is>
      </c>
      <c r="E38" s="44" t="inlineStr">
        <is>
          <t>Bessemer, Scaling to $100 Million (2024)</t>
        </is>
      </c>
    </row>
    <row r="39" ht="15.75" customHeight="1" s="45">
      <c r="A39" s="43" t="inlineStr">
        <is>
          <t>Benchmark</t>
        </is>
      </c>
      <c r="B39" s="43" t="inlineStr">
        <is>
          <t>LTV : CAC</t>
        </is>
      </c>
      <c r="C39" s="43" t="inlineStr">
        <is>
          <t>≥ 3×</t>
        </is>
      </c>
      <c r="D39" s="43" t="inlineStr">
        <is>
          <t>lần</t>
        </is>
      </c>
      <c r="E39" s="44" t="inlineStr">
        <is>
          <t>David Skok, SaaS Metrics 2.0 (cập nhật 06/2026)</t>
        </is>
      </c>
    </row>
    <row r="40" ht="15.75" customHeight="1" s="45">
      <c r="A40" s="43" t="inlineStr">
        <is>
          <t>Benchmark</t>
        </is>
      </c>
      <c r="B40" s="43" t="inlineStr">
        <is>
          <t>Cost per opportunity 2026 (theo phân khúc)</t>
        </is>
      </c>
      <c r="C40" s="43" t="inlineStr">
        <is>
          <t>6.300 · 8.000 · 11.200</t>
        </is>
      </c>
      <c r="D40" s="43" t="inlineStr">
        <is>
          <t>$</t>
        </is>
      </c>
      <c r="E40" s="44" t="inlineStr">
        <is>
          <t>ICONIQ, State of GTM 2026 (tr.22)</t>
        </is>
      </c>
    </row>
    <row r="41" ht="15.75" customHeight="1" s="45">
      <c r="A41" s="43" t="inlineStr">
        <is>
          <t>Benchmark</t>
        </is>
      </c>
      <c r="B41" s="43" t="inlineStr">
        <is>
          <t>ACV sàn cho inside sales</t>
        </is>
      </c>
      <c r="C41" s="43" t="inlineStr">
        <is>
          <t>≈ 3.000</t>
        </is>
      </c>
      <c r="D41" s="43" t="inlineStr">
        <is>
          <t>$ / năm</t>
        </is>
      </c>
      <c r="E41" s="44" t="inlineStr">
        <is>
          <t>Tomasz Tunguz (2016) — có kèm giả định để tính lại</t>
        </is>
      </c>
    </row>
    <row r="42" ht="15.75" customHeight="1" s="45"/>
    <row r="43" ht="15.75" customHeight="1" s="45">
      <c r="A43" s="17" t="inlineStr">
        <is>
          <t>Lưu ý: trang marketing của nhà cung cấp có thể hiển thị giá cũ hơn trang docs. Ưu tiên trang docs / pricing chính thức.</t>
        </is>
      </c>
    </row>
    <row r="44" ht="15.75" customHeight="1" s="45"/>
    <row r="45" ht="15.75" customHeight="1" s="45"/>
    <row r="46" ht="15.75" customHeight="1" s="45"/>
    <row r="47" ht="15.75" customHeight="1" s="45"/>
    <row r="48" ht="15.75" customHeight="1" s="45"/>
    <row r="49" ht="15.75" customHeight="1" s="45"/>
    <row r="50" ht="15.75" customHeight="1" s="45"/>
    <row r="51" ht="15.75" customHeight="1" s="45"/>
    <row r="52" ht="15.75" customHeight="1" s="45"/>
    <row r="53" ht="15.75" customHeight="1" s="45"/>
    <row r="54" ht="15.75" customHeight="1" s="45"/>
    <row r="55" ht="15.75" customHeight="1" s="45"/>
    <row r="56" ht="15.75" customHeight="1" s="45"/>
    <row r="57" ht="15.75" customHeight="1" s="45"/>
    <row r="58" ht="15.75" customHeight="1" s="45"/>
    <row r="59" ht="15.75" customHeight="1" s="45"/>
    <row r="60" ht="15.75" customHeight="1" s="45"/>
    <row r="61" ht="15.75" customHeight="1" s="45"/>
    <row r="62" ht="15.75" customHeight="1" s="45"/>
    <row r="63" ht="15.75" customHeight="1" s="45"/>
    <row r="64" ht="15.75" customHeight="1" s="45"/>
    <row r="65" ht="15.75" customHeight="1" s="45"/>
    <row r="66" ht="15.75" customHeight="1" s="45"/>
    <row r="67" ht="15.75" customHeight="1" s="45"/>
    <row r="68" ht="15.75" customHeight="1" s="45"/>
    <row r="69" ht="15.75" customHeight="1" s="45"/>
    <row r="70" ht="15.75" customHeight="1" s="45"/>
    <row r="71" ht="15.75" customHeight="1" s="45"/>
    <row r="72" ht="15.75" customHeight="1" s="45"/>
    <row r="73" ht="15.75" customHeight="1" s="45"/>
    <row r="74" ht="15.75" customHeight="1" s="45"/>
    <row r="75" ht="15.75" customHeight="1" s="45"/>
    <row r="76" ht="15.75" customHeight="1" s="45"/>
    <row r="77" ht="15.75" customHeight="1" s="45"/>
    <row r="78" ht="15.75" customHeight="1" s="45"/>
    <row r="79" ht="15.75" customHeight="1" s="45"/>
    <row r="80" ht="15.75" customHeight="1" s="45"/>
    <row r="81" ht="15.75" customHeight="1" s="45"/>
    <row r="82" ht="15.75" customHeight="1" s="45"/>
    <row r="83" ht="15.75" customHeight="1" s="45"/>
    <row r="84" ht="15.75" customHeight="1" s="45"/>
    <row r="85" ht="15.75" customHeight="1" s="45"/>
    <row r="86" ht="15.75" customHeight="1" s="45"/>
    <row r="87" ht="15.75" customHeight="1" s="45"/>
    <row r="88" ht="15.75" customHeight="1" s="45"/>
    <row r="89" ht="15.75" customHeight="1" s="45"/>
    <row r="90" ht="15.75" customHeight="1" s="45"/>
    <row r="91" ht="15.75" customHeight="1" s="45"/>
    <row r="92" ht="15.75" customHeight="1" s="45"/>
    <row r="93" ht="15.75" customHeight="1" s="45"/>
    <row r="94" ht="15.75" customHeight="1" s="45"/>
    <row r="95" ht="15.75" customHeight="1" s="45"/>
    <row r="96" ht="15.75" customHeight="1" s="45"/>
    <row r="97" ht="15.75" customHeight="1" s="45"/>
    <row r="98" ht="15.75" customHeight="1" s="45"/>
    <row r="99" ht="15.75" customHeight="1" s="45"/>
    <row r="100" ht="15.75" customHeight="1" s="45"/>
    <row r="101" ht="15.75" customHeight="1" s="45"/>
    <row r="102" ht="15.75" customHeight="1" s="45"/>
    <row r="103" ht="15.75" customHeight="1" s="45"/>
    <row r="104" ht="15.75" customHeight="1" s="45"/>
    <row r="105" ht="15.75" customHeight="1" s="45"/>
    <row r="106" ht="15.75" customHeight="1" s="45"/>
    <row r="107" ht="15.75" customHeight="1" s="45"/>
    <row r="108" ht="15.75" customHeight="1" s="45"/>
    <row r="109" ht="15.75" customHeight="1" s="45"/>
    <row r="110" ht="15.75" customHeight="1" s="45"/>
    <row r="111" ht="15.75" customHeight="1" s="45"/>
    <row r="112" ht="15.75" customHeight="1" s="45"/>
    <row r="113" ht="15.75" customHeight="1" s="45"/>
    <row r="114" ht="15.75" customHeight="1" s="45"/>
    <row r="115" ht="15.75" customHeight="1" s="45"/>
    <row r="116" ht="15.75" customHeight="1" s="45"/>
    <row r="117" ht="15.75" customHeight="1" s="45"/>
    <row r="118" ht="15.75" customHeight="1" s="45"/>
    <row r="119" ht="15.75" customHeight="1" s="45"/>
    <row r="120" ht="15.75" customHeight="1" s="45"/>
    <row r="121" ht="15.75" customHeight="1" s="45"/>
    <row r="122" ht="15.75" customHeight="1" s="45"/>
    <row r="123" ht="15.75" customHeight="1" s="45"/>
    <row r="124" ht="15.75" customHeight="1" s="45"/>
    <row r="125" ht="15.75" customHeight="1" s="45"/>
    <row r="126" ht="15.75" customHeight="1" s="45"/>
    <row r="127" ht="15.75" customHeight="1" s="45"/>
    <row r="128" ht="15.75" customHeight="1" s="45"/>
    <row r="129" ht="15.75" customHeight="1" s="45"/>
    <row r="130" ht="15.75" customHeight="1" s="45"/>
    <row r="131" ht="15.75" customHeight="1" s="45"/>
    <row r="132" ht="15.75" customHeight="1" s="45"/>
    <row r="133" ht="15.75" customHeight="1" s="45"/>
    <row r="134" ht="15.75" customHeight="1" s="45"/>
    <row r="135" ht="15.75" customHeight="1" s="45"/>
    <row r="136" ht="15.75" customHeight="1" s="45"/>
    <row r="137" ht="15.75" customHeight="1" s="45"/>
    <row r="138" ht="15.75" customHeight="1" s="45"/>
    <row r="139" ht="15.75" customHeight="1" s="45"/>
    <row r="140" ht="15.75" customHeight="1" s="45"/>
    <row r="141" ht="15.75" customHeight="1" s="45"/>
    <row r="142" ht="15.75" customHeight="1" s="45"/>
    <row r="143" ht="15.75" customHeight="1" s="45"/>
    <row r="144" ht="15.75" customHeight="1" s="45"/>
    <row r="145" ht="15.75" customHeight="1" s="45"/>
    <row r="146" ht="15.75" customHeight="1" s="45"/>
    <row r="147" ht="15.75" customHeight="1" s="45"/>
    <row r="148" ht="15.75" customHeight="1" s="45"/>
    <row r="149" ht="15.75" customHeight="1" s="45"/>
    <row r="150" ht="15.75" customHeight="1" s="45"/>
    <row r="151" ht="15.75" customHeight="1" s="45"/>
    <row r="152" ht="15.75" customHeight="1" s="45"/>
    <row r="153" ht="15.75" customHeight="1" s="45"/>
    <row r="154" ht="15.75" customHeight="1" s="45"/>
    <row r="155" ht="15.75" customHeight="1" s="45"/>
    <row r="156" ht="15.75" customHeight="1" s="45"/>
    <row r="157" ht="15.75" customHeight="1" s="45"/>
    <row r="158" ht="15.75" customHeight="1" s="45"/>
    <row r="159" ht="15.75" customHeight="1" s="45"/>
    <row r="160" ht="15.75" customHeight="1" s="45"/>
    <row r="161" ht="15.75" customHeight="1" s="45"/>
    <row r="162" ht="15.75" customHeight="1" s="45"/>
    <row r="163" ht="15.75" customHeight="1" s="45"/>
    <row r="164" ht="15.75" customHeight="1" s="45"/>
    <row r="165" ht="15.75" customHeight="1" s="45"/>
    <row r="166" ht="15.75" customHeight="1" s="45"/>
    <row r="167" ht="15.75" customHeight="1" s="45"/>
    <row r="168" ht="15.75" customHeight="1" s="45"/>
    <row r="169" ht="15.75" customHeight="1" s="45"/>
    <row r="170" ht="15.75" customHeight="1" s="45"/>
    <row r="171" ht="15.75" customHeight="1" s="45"/>
    <row r="172" ht="15.75" customHeight="1" s="45"/>
    <row r="173" ht="15.75" customHeight="1" s="45"/>
    <row r="174" ht="15.75" customHeight="1" s="45"/>
    <row r="175" ht="15.75" customHeight="1" s="45"/>
    <row r="176" ht="15.75" customHeight="1" s="45"/>
    <row r="177" ht="15.75" customHeight="1" s="45"/>
    <row r="178" ht="15.75" customHeight="1" s="45"/>
    <row r="179" ht="15.75" customHeight="1" s="45"/>
    <row r="180" ht="15.75" customHeight="1" s="45"/>
    <row r="181" ht="15.75" customHeight="1" s="45"/>
    <row r="182" ht="15.75" customHeight="1" s="45"/>
    <row r="183" ht="15.75" customHeight="1" s="45"/>
    <row r="184" ht="15.75" customHeight="1" s="45"/>
    <row r="185" ht="15.75" customHeight="1" s="45"/>
    <row r="186" ht="15.75" customHeight="1" s="45"/>
    <row r="187" ht="15.75" customHeight="1" s="45"/>
    <row r="188" ht="15.75" customHeight="1" s="45"/>
    <row r="189" ht="15.75" customHeight="1" s="45"/>
    <row r="190" ht="15.75" customHeight="1" s="45"/>
    <row r="191" ht="15.75" customHeight="1" s="45"/>
    <row r="192" ht="15.75" customHeight="1" s="45"/>
    <row r="193" ht="15.75" customHeight="1" s="45"/>
    <row r="194" ht="15.75" customHeight="1" s="45"/>
    <row r="195" ht="15.75" customHeight="1" s="45"/>
    <row r="196" ht="15.75" customHeight="1" s="45"/>
    <row r="197" ht="15.75" customHeight="1" s="45"/>
    <row r="198" ht="15.75" customHeight="1" s="45"/>
    <row r="199" ht="15.75" customHeight="1" s="45"/>
    <row r="200" ht="15.75" customHeight="1" s="45"/>
    <row r="201" ht="15.75" customHeight="1" s="45"/>
    <row r="202" ht="15.75" customHeight="1" s="45"/>
    <row r="203" ht="15.75" customHeight="1" s="45"/>
    <row r="204" ht="15.75" customHeight="1" s="45"/>
    <row r="205" ht="15.75" customHeight="1" s="45"/>
    <row r="206" ht="15.75" customHeight="1" s="45"/>
    <row r="207" ht="15.75" customHeight="1" s="45"/>
    <row r="208" ht="15.75" customHeight="1" s="45"/>
    <row r="209" ht="15.75" customHeight="1" s="45"/>
    <row r="210" ht="15.75" customHeight="1" s="45"/>
    <row r="211" ht="15.75" customHeight="1" s="45"/>
    <row r="212" ht="15.75" customHeight="1" s="45"/>
    <row r="213" ht="15.75" customHeight="1" s="45"/>
    <row r="214" ht="15.75" customHeight="1" s="45"/>
    <row r="215" ht="15.75" customHeight="1" s="45"/>
    <row r="216" ht="15.75" customHeight="1" s="45"/>
    <row r="217" ht="15.75" customHeight="1" s="45"/>
    <row r="218" ht="15.75" customHeight="1" s="45"/>
    <row r="219" ht="15.75" customHeight="1" s="45"/>
    <row r="220" ht="15.75" customHeight="1" s="45"/>
    <row r="221" ht="15.75" customHeight="1" s="45"/>
    <row r="222" ht="15.75" customHeight="1" s="45"/>
    <row r="223" ht="15.75" customHeight="1" s="45"/>
    <row r="224" ht="15.75" customHeight="1" s="45"/>
    <row r="225" ht="15.75" customHeight="1" s="45"/>
    <row r="226" ht="15.75" customHeight="1" s="45"/>
    <row r="227" ht="15.75" customHeight="1" s="45"/>
    <row r="228" ht="15.75" customHeight="1" s="45"/>
    <row r="229" ht="15.75" customHeight="1" s="45"/>
    <row r="230" ht="15.75" customHeight="1" s="45"/>
    <row r="231" ht="15.75" customHeight="1" s="45"/>
    <row r="232" ht="15.75" customHeight="1" s="45"/>
    <row r="233" ht="15.75" customHeight="1" s="45"/>
    <row r="234" ht="15.75" customHeight="1" s="45"/>
    <row r="235" ht="15.75" customHeight="1" s="45"/>
    <row r="236" ht="15.75" customHeight="1" s="45"/>
    <row r="237" ht="15.75" customHeight="1" s="45"/>
    <row r="238" ht="15.75" customHeight="1" s="45"/>
    <row r="239" ht="15.75" customHeight="1" s="45"/>
    <row r="240" ht="15.75" customHeight="1" s="45"/>
    <row r="241" ht="15.75" customHeight="1" s="45"/>
    <row r="242" ht="15.75" customHeight="1" s="45"/>
    <row r="243" ht="15.75" customHeight="1" s="45"/>
    <row r="244" ht="15.75" customHeight="1" s="45"/>
    <row r="245" ht="15.75" customHeight="1" s="45"/>
    <row r="246" ht="15.75" customHeight="1" s="45"/>
    <row r="247" ht="15.75" customHeight="1" s="45"/>
    <row r="248" ht="15.75" customHeight="1" s="45"/>
    <row r="249" ht="15.75" customHeight="1" s="45"/>
    <row r="250" ht="15.75" customHeight="1" s="45"/>
    <row r="251" ht="15.75" customHeight="1" s="45"/>
    <row r="252" ht="15.75" customHeight="1" s="45"/>
    <row r="253" ht="15.75" customHeight="1" s="45"/>
    <row r="254" ht="15.75" customHeight="1" s="45"/>
    <row r="255" ht="15.75" customHeight="1" s="45"/>
    <row r="256" ht="15.75" customHeight="1" s="45"/>
    <row r="257" ht="15.75" customHeight="1" s="45"/>
    <row r="258" ht="15.75" customHeight="1" s="45"/>
    <row r="259" ht="15.75" customHeight="1" s="45"/>
    <row r="260" ht="15.75" customHeight="1" s="45"/>
    <row r="261" ht="15.75" customHeight="1" s="45"/>
    <row r="262" ht="15.75" customHeight="1" s="45"/>
    <row r="263" ht="15.75" customHeight="1" s="45"/>
    <row r="264" ht="15.75" customHeight="1" s="45"/>
    <row r="265" ht="15.75" customHeight="1" s="45"/>
    <row r="266" ht="15.75" customHeight="1" s="45"/>
    <row r="267" ht="15.75" customHeight="1" s="45"/>
    <row r="268" ht="15.75" customHeight="1" s="45"/>
    <row r="269" ht="15.75" customHeight="1" s="45"/>
    <row r="270" ht="15.75" customHeight="1" s="45"/>
    <row r="271" ht="15.75" customHeight="1" s="45"/>
    <row r="272" ht="15.75" customHeight="1" s="45"/>
    <row r="273" ht="15.75" customHeight="1" s="45"/>
    <row r="274" ht="15.75" customHeight="1" s="45"/>
    <row r="275" ht="15.75" customHeight="1" s="45"/>
    <row r="276" ht="15.75" customHeight="1" s="45"/>
    <row r="277" ht="15.75" customHeight="1" s="45"/>
    <row r="278" ht="15.75" customHeight="1" s="45"/>
    <row r="279" ht="15.75" customHeight="1" s="45"/>
    <row r="280" ht="15.75" customHeight="1" s="45"/>
    <row r="281" ht="15.75" customHeight="1" s="45"/>
    <row r="282" ht="15.75" customHeight="1" s="45"/>
    <row r="283" ht="15.75" customHeight="1" s="45"/>
    <row r="284" ht="15.75" customHeight="1" s="45"/>
    <row r="285" ht="15.75" customHeight="1" s="45"/>
    <row r="286" ht="15.75" customHeight="1" s="45"/>
    <row r="287" ht="15.75" customHeight="1" s="45"/>
    <row r="288" ht="15.75" customHeight="1" s="45"/>
    <row r="289" ht="15.75" customHeight="1" s="45"/>
    <row r="290" ht="15.75" customHeight="1" s="45"/>
    <row r="291" ht="15.75" customHeight="1" s="45"/>
    <row r="292" ht="15.75" customHeight="1" s="45"/>
    <row r="293" ht="15.75" customHeight="1" s="45"/>
    <row r="294" ht="15.75" customHeight="1" s="45"/>
    <row r="295" ht="15.75" customHeight="1" s="45"/>
    <row r="296" ht="15.75" customHeight="1" s="45"/>
    <row r="297" ht="15.75" customHeight="1" s="45"/>
    <row r="298" ht="15.75" customHeight="1" s="45"/>
    <row r="299" ht="15.75" customHeight="1" s="45"/>
    <row r="300" ht="15.75" customHeight="1" s="45"/>
    <row r="301" ht="15.75" customHeight="1" s="45"/>
    <row r="302" ht="15.75" customHeight="1" s="45"/>
    <row r="303" ht="15.75" customHeight="1" s="45"/>
    <row r="304" ht="15.75" customHeight="1" s="45"/>
    <row r="305" ht="15.75" customHeight="1" s="45"/>
    <row r="306" ht="15.75" customHeight="1" s="45"/>
    <row r="307" ht="15.75" customHeight="1" s="45"/>
    <row r="308" ht="15.75" customHeight="1" s="45"/>
    <row r="309" ht="15.75" customHeight="1" s="45"/>
    <row r="310" ht="15.75" customHeight="1" s="45"/>
    <row r="311" ht="15.75" customHeight="1" s="45"/>
    <row r="312" ht="15.75" customHeight="1" s="45"/>
    <row r="313" ht="15.75" customHeight="1" s="45"/>
    <row r="314" ht="15.75" customHeight="1" s="45"/>
    <row r="315" ht="15.75" customHeight="1" s="45"/>
    <row r="316" ht="15.75" customHeight="1" s="45"/>
    <row r="317" ht="15.75" customHeight="1" s="45"/>
    <row r="318" ht="15.75" customHeight="1" s="45"/>
    <row r="319" ht="15.75" customHeight="1" s="45"/>
    <row r="320" ht="15.75" customHeight="1" s="45"/>
    <row r="321" ht="15.75" customHeight="1" s="45"/>
    <row r="322" ht="15.75" customHeight="1" s="45"/>
    <row r="323" ht="15.75" customHeight="1" s="45"/>
    <row r="324" ht="15.75" customHeight="1" s="45"/>
    <row r="325" ht="15.75" customHeight="1" s="45"/>
    <row r="326" ht="15.75" customHeight="1" s="45"/>
    <row r="327" ht="15.75" customHeight="1" s="45"/>
    <row r="328" ht="15.75" customHeight="1" s="45"/>
    <row r="329" ht="15.75" customHeight="1" s="45"/>
    <row r="330" ht="15.75" customHeight="1" s="45"/>
    <row r="331" ht="15.75" customHeight="1" s="45"/>
    <row r="332" ht="15.75" customHeight="1" s="45"/>
    <row r="333" ht="15.75" customHeight="1" s="45"/>
    <row r="334" ht="15.75" customHeight="1" s="45"/>
    <row r="335" ht="15.75" customHeight="1" s="45"/>
    <row r="336" ht="15.75" customHeight="1" s="45"/>
    <row r="337" ht="15.75" customHeight="1" s="45"/>
    <row r="338" ht="15.75" customHeight="1" s="45"/>
    <row r="339" ht="15.75" customHeight="1" s="45"/>
    <row r="340" ht="15.75" customHeight="1" s="45"/>
    <row r="341" ht="15.75" customHeight="1" s="45"/>
    <row r="342" ht="15.75" customHeight="1" s="45"/>
    <row r="343" ht="15.75" customHeight="1" s="45"/>
    <row r="344" ht="15.75" customHeight="1" s="45"/>
    <row r="345" ht="15.75" customHeight="1" s="45"/>
    <row r="346" ht="15.75" customHeight="1" s="45"/>
    <row r="347" ht="15.75" customHeight="1" s="45"/>
    <row r="348" ht="15.75" customHeight="1" s="45"/>
    <row r="349" ht="15.75" customHeight="1" s="45"/>
    <row r="350" ht="15.75" customHeight="1" s="45"/>
    <row r="351" ht="15.75" customHeight="1" s="45"/>
    <row r="352" ht="15.75" customHeight="1" s="45"/>
    <row r="353" ht="15.75" customHeight="1" s="45"/>
    <row r="354" ht="15.75" customHeight="1" s="45"/>
    <row r="355" ht="15.75" customHeight="1" s="45"/>
    <row r="356" ht="15.75" customHeight="1" s="45"/>
    <row r="357" ht="15.75" customHeight="1" s="45"/>
    <row r="358" ht="15.75" customHeight="1" s="45"/>
    <row r="359" ht="15.75" customHeight="1" s="45"/>
    <row r="360" ht="15.75" customHeight="1" s="45"/>
    <row r="361" ht="15.75" customHeight="1" s="45"/>
    <row r="362" ht="15.75" customHeight="1" s="45"/>
    <row r="363" ht="15.75" customHeight="1" s="45"/>
    <row r="364" ht="15.75" customHeight="1" s="45"/>
    <row r="365" ht="15.75" customHeight="1" s="45"/>
    <row r="366" ht="15.75" customHeight="1" s="45"/>
    <row r="367" ht="15.75" customHeight="1" s="45"/>
    <row r="368" ht="15.75" customHeight="1" s="45"/>
    <row r="369" ht="15.75" customHeight="1" s="45"/>
    <row r="370" ht="15.75" customHeight="1" s="45"/>
    <row r="371" ht="15.75" customHeight="1" s="45"/>
    <row r="372" ht="15.75" customHeight="1" s="45"/>
    <row r="373" ht="15.75" customHeight="1" s="45"/>
    <row r="374" ht="15.75" customHeight="1" s="45"/>
    <row r="375" ht="15.75" customHeight="1" s="45"/>
    <row r="376" ht="15.75" customHeight="1" s="45"/>
    <row r="377" ht="15.75" customHeight="1" s="45"/>
    <row r="378" ht="15.75" customHeight="1" s="45"/>
    <row r="379" ht="15.75" customHeight="1" s="45"/>
    <row r="380" ht="15.75" customHeight="1" s="45"/>
    <row r="381" ht="15.75" customHeight="1" s="45"/>
    <row r="382" ht="15.75" customHeight="1" s="45"/>
    <row r="383" ht="15.75" customHeight="1" s="45"/>
    <row r="384" ht="15.75" customHeight="1" s="45"/>
    <row r="385" ht="15.75" customHeight="1" s="45"/>
    <row r="386" ht="15.75" customHeight="1" s="45"/>
    <row r="387" ht="15.75" customHeight="1" s="45"/>
    <row r="388" ht="15.75" customHeight="1" s="45"/>
    <row r="389" ht="15.75" customHeight="1" s="45"/>
    <row r="390" ht="15.75" customHeight="1" s="45"/>
    <row r="391" ht="15.75" customHeight="1" s="45"/>
    <row r="392" ht="15.75" customHeight="1" s="45"/>
    <row r="393" ht="15.75" customHeight="1" s="45"/>
    <row r="394" ht="15.75" customHeight="1" s="45"/>
    <row r="395" ht="15.75" customHeight="1" s="45"/>
    <row r="396" ht="15.75" customHeight="1" s="45"/>
    <row r="397" ht="15.75" customHeight="1" s="45"/>
    <row r="398" ht="15.75" customHeight="1" s="45"/>
    <row r="399" ht="15.75" customHeight="1" s="45"/>
    <row r="400" ht="15.75" customHeight="1" s="45"/>
    <row r="401" ht="15.75" customHeight="1" s="45"/>
    <row r="402" ht="15.75" customHeight="1" s="45"/>
    <row r="403" ht="15.75" customHeight="1" s="45"/>
    <row r="404" ht="15.75" customHeight="1" s="45"/>
    <row r="405" ht="15.75" customHeight="1" s="45"/>
    <row r="406" ht="15.75" customHeight="1" s="45"/>
    <row r="407" ht="15.75" customHeight="1" s="45"/>
    <row r="408" ht="15.75" customHeight="1" s="45"/>
    <row r="409" ht="15.75" customHeight="1" s="45"/>
    <row r="410" ht="15.75" customHeight="1" s="45"/>
    <row r="411" ht="15.75" customHeight="1" s="45"/>
    <row r="412" ht="15.75" customHeight="1" s="45"/>
    <row r="413" ht="15.75" customHeight="1" s="45"/>
    <row r="414" ht="15.75" customHeight="1" s="45"/>
    <row r="415" ht="15.75" customHeight="1" s="45"/>
    <row r="416" ht="15.75" customHeight="1" s="45"/>
    <row r="417" ht="15.75" customHeight="1" s="45"/>
    <row r="418" ht="15.75" customHeight="1" s="45"/>
    <row r="419" ht="15.75" customHeight="1" s="45"/>
    <row r="420" ht="15.75" customHeight="1" s="45"/>
    <row r="421" ht="15.75" customHeight="1" s="45"/>
    <row r="422" ht="15.75" customHeight="1" s="45"/>
    <row r="423" ht="15.75" customHeight="1" s="45"/>
    <row r="424" ht="15.75" customHeight="1" s="45"/>
    <row r="425" ht="15.75" customHeight="1" s="45"/>
    <row r="426" ht="15.75" customHeight="1" s="45"/>
    <row r="427" ht="15.75" customHeight="1" s="45"/>
    <row r="428" ht="15.75" customHeight="1" s="45"/>
    <row r="429" ht="15.75" customHeight="1" s="45"/>
    <row r="430" ht="15.75" customHeight="1" s="45"/>
    <row r="431" ht="15.75" customHeight="1" s="45"/>
    <row r="432" ht="15.75" customHeight="1" s="45"/>
    <row r="433" ht="15.75" customHeight="1" s="45"/>
    <row r="434" ht="15.75" customHeight="1" s="45"/>
    <row r="435" ht="15.75" customHeight="1" s="45"/>
    <row r="436" ht="15.75" customHeight="1" s="45"/>
    <row r="437" ht="15.75" customHeight="1" s="45"/>
    <row r="438" ht="15.75" customHeight="1" s="45"/>
    <row r="439" ht="15.75" customHeight="1" s="45"/>
    <row r="440" ht="15.75" customHeight="1" s="45"/>
    <row r="441" ht="15.75" customHeight="1" s="45"/>
    <row r="442" ht="15.75" customHeight="1" s="45"/>
    <row r="443" ht="15.75" customHeight="1" s="45"/>
    <row r="444" ht="15.75" customHeight="1" s="45"/>
    <row r="445" ht="15.75" customHeight="1" s="45"/>
    <row r="446" ht="15.75" customHeight="1" s="45"/>
    <row r="447" ht="15.75" customHeight="1" s="45"/>
    <row r="448" ht="15.75" customHeight="1" s="45"/>
    <row r="449" ht="15.75" customHeight="1" s="45"/>
    <row r="450" ht="15.75" customHeight="1" s="45"/>
    <row r="451" ht="15.75" customHeight="1" s="45"/>
    <row r="452" ht="15.75" customHeight="1" s="45"/>
    <row r="453" ht="15.75" customHeight="1" s="45"/>
    <row r="454" ht="15.75" customHeight="1" s="45"/>
    <row r="455" ht="15.75" customHeight="1" s="45"/>
    <row r="456" ht="15.75" customHeight="1" s="45"/>
    <row r="457" ht="15.75" customHeight="1" s="45"/>
    <row r="458" ht="15.75" customHeight="1" s="45"/>
    <row r="459" ht="15.75" customHeight="1" s="45"/>
    <row r="460" ht="15.75" customHeight="1" s="45"/>
    <row r="461" ht="15.75" customHeight="1" s="45"/>
    <row r="462" ht="15.75" customHeight="1" s="45"/>
    <row r="463" ht="15.75" customHeight="1" s="45"/>
    <row r="464" ht="15.75" customHeight="1" s="45"/>
    <row r="465" ht="15.75" customHeight="1" s="45"/>
    <row r="466" ht="15.75" customHeight="1" s="45"/>
    <row r="467" ht="15.75" customHeight="1" s="45"/>
    <row r="468" ht="15.75" customHeight="1" s="45"/>
    <row r="469" ht="15.75" customHeight="1" s="45"/>
    <row r="470" ht="15.75" customHeight="1" s="45"/>
    <row r="471" ht="15.75" customHeight="1" s="45"/>
    <row r="472" ht="15.75" customHeight="1" s="45"/>
    <row r="473" ht="15.75" customHeight="1" s="45"/>
    <row r="474" ht="15.75" customHeight="1" s="45"/>
    <row r="475" ht="15.75" customHeight="1" s="45"/>
    <row r="476" ht="15.75" customHeight="1" s="45"/>
    <row r="477" ht="15.75" customHeight="1" s="45"/>
    <row r="478" ht="15.75" customHeight="1" s="45"/>
    <row r="479" ht="15.75" customHeight="1" s="45"/>
    <row r="480" ht="15.75" customHeight="1" s="45"/>
    <row r="481" ht="15.75" customHeight="1" s="45"/>
    <row r="482" ht="15.75" customHeight="1" s="45"/>
    <row r="483" ht="15.75" customHeight="1" s="45"/>
    <row r="484" ht="15.75" customHeight="1" s="45"/>
    <row r="485" ht="15.75" customHeight="1" s="45"/>
    <row r="486" ht="15.75" customHeight="1" s="45"/>
    <row r="487" ht="15.75" customHeight="1" s="45"/>
    <row r="488" ht="15.75" customHeight="1" s="45"/>
    <row r="489" ht="15.75" customHeight="1" s="45"/>
    <row r="490" ht="15.75" customHeight="1" s="45"/>
    <row r="491" ht="15.75" customHeight="1" s="45"/>
    <row r="492" ht="15.75" customHeight="1" s="45"/>
    <row r="493" ht="15.75" customHeight="1" s="45"/>
    <row r="494" ht="15.75" customHeight="1" s="45"/>
    <row r="495" ht="15.75" customHeight="1" s="45"/>
    <row r="496" ht="15.75" customHeight="1" s="45"/>
    <row r="497" ht="15.75" customHeight="1" s="45"/>
    <row r="498" ht="15.75" customHeight="1" s="45"/>
    <row r="499" ht="15.75" customHeight="1" s="45"/>
    <row r="500" ht="15.75" customHeight="1" s="45"/>
    <row r="501" ht="15.75" customHeight="1" s="45"/>
    <row r="502" ht="15.75" customHeight="1" s="45"/>
    <row r="503" ht="15.75" customHeight="1" s="45"/>
    <row r="504" ht="15.75" customHeight="1" s="45"/>
    <row r="505" ht="15.75" customHeight="1" s="45"/>
    <row r="506" ht="15.75" customHeight="1" s="45"/>
    <row r="507" ht="15.75" customHeight="1" s="45"/>
    <row r="508" ht="15.75" customHeight="1" s="45"/>
    <row r="509" ht="15.75" customHeight="1" s="45"/>
    <row r="510" ht="15.75" customHeight="1" s="45"/>
    <row r="511" ht="15.75" customHeight="1" s="45"/>
    <row r="512" ht="15.75" customHeight="1" s="45"/>
    <row r="513" ht="15.75" customHeight="1" s="45"/>
    <row r="514" ht="15.75" customHeight="1" s="45"/>
    <row r="515" ht="15.75" customHeight="1" s="45"/>
    <row r="516" ht="15.75" customHeight="1" s="45"/>
    <row r="517" ht="15.75" customHeight="1" s="45"/>
    <row r="518" ht="15.75" customHeight="1" s="45"/>
    <row r="519" ht="15.75" customHeight="1" s="45"/>
    <row r="520" ht="15.75" customHeight="1" s="45"/>
    <row r="521" ht="15.75" customHeight="1" s="45"/>
    <row r="522" ht="15.75" customHeight="1" s="45"/>
    <row r="523" ht="15.75" customHeight="1" s="45"/>
    <row r="524" ht="15.75" customHeight="1" s="45"/>
    <row r="525" ht="15.75" customHeight="1" s="45"/>
    <row r="526" ht="15.75" customHeight="1" s="45"/>
    <row r="527" ht="15.75" customHeight="1" s="45"/>
    <row r="528" ht="15.75" customHeight="1" s="45"/>
    <row r="529" ht="15.75" customHeight="1" s="45"/>
    <row r="530" ht="15.75" customHeight="1" s="45"/>
    <row r="531" ht="15.75" customHeight="1" s="45"/>
    <row r="532" ht="15.75" customHeight="1" s="45"/>
    <row r="533" ht="15.75" customHeight="1" s="45"/>
    <row r="534" ht="15.75" customHeight="1" s="45"/>
    <row r="535" ht="15.75" customHeight="1" s="45"/>
    <row r="536" ht="15.75" customHeight="1" s="45"/>
    <row r="537" ht="15.75" customHeight="1" s="45"/>
    <row r="538" ht="15.75" customHeight="1" s="45"/>
    <row r="539" ht="15.75" customHeight="1" s="45"/>
    <row r="540" ht="15.75" customHeight="1" s="45"/>
    <row r="541" ht="15.75" customHeight="1" s="45"/>
    <row r="542" ht="15.75" customHeight="1" s="45"/>
    <row r="543" ht="15.75" customHeight="1" s="45"/>
    <row r="544" ht="15.75" customHeight="1" s="45"/>
    <row r="545" ht="15.75" customHeight="1" s="45"/>
    <row r="546" ht="15.75" customHeight="1" s="45"/>
    <row r="547" ht="15.75" customHeight="1" s="45"/>
    <row r="548" ht="15.75" customHeight="1" s="45"/>
    <row r="549" ht="15.75" customHeight="1" s="45"/>
    <row r="550" ht="15.75" customHeight="1" s="45"/>
    <row r="551" ht="15.75" customHeight="1" s="45"/>
    <row r="552" ht="15.75" customHeight="1" s="45"/>
    <row r="553" ht="15.75" customHeight="1" s="45"/>
    <row r="554" ht="15.75" customHeight="1" s="45"/>
    <row r="555" ht="15.75" customHeight="1" s="45"/>
    <row r="556" ht="15.75" customHeight="1" s="45"/>
    <row r="557" ht="15.75" customHeight="1" s="45"/>
    <row r="558" ht="15.75" customHeight="1" s="45"/>
    <row r="559" ht="15.75" customHeight="1" s="45"/>
    <row r="560" ht="15.75" customHeight="1" s="45"/>
    <row r="561" ht="15.75" customHeight="1" s="45"/>
    <row r="562" ht="15.75" customHeight="1" s="45"/>
    <row r="563" ht="15.75" customHeight="1" s="45"/>
    <row r="564" ht="15.75" customHeight="1" s="45"/>
    <row r="565" ht="15.75" customHeight="1" s="45"/>
    <row r="566" ht="15.75" customHeight="1" s="45"/>
    <row r="567" ht="15.75" customHeight="1" s="45"/>
    <row r="568" ht="15.75" customHeight="1" s="45"/>
    <row r="569" ht="15.75" customHeight="1" s="45"/>
    <row r="570" ht="15.75" customHeight="1" s="45"/>
    <row r="571" ht="15.75" customHeight="1" s="45"/>
    <row r="572" ht="15.75" customHeight="1" s="45"/>
    <row r="573" ht="15.75" customHeight="1" s="45"/>
    <row r="574" ht="15.75" customHeight="1" s="45"/>
    <row r="575" ht="15.75" customHeight="1" s="45"/>
    <row r="576" ht="15.75" customHeight="1" s="45"/>
    <row r="577" ht="15.75" customHeight="1" s="45"/>
    <row r="578" ht="15.75" customHeight="1" s="45"/>
    <row r="579" ht="15.75" customHeight="1" s="45"/>
    <row r="580" ht="15.75" customHeight="1" s="45"/>
    <row r="581" ht="15.75" customHeight="1" s="45"/>
    <row r="582" ht="15.75" customHeight="1" s="45"/>
    <row r="583" ht="15.75" customHeight="1" s="45"/>
    <row r="584" ht="15.75" customHeight="1" s="45"/>
    <row r="585" ht="15.75" customHeight="1" s="45"/>
    <row r="586" ht="15.75" customHeight="1" s="45"/>
    <row r="587" ht="15.75" customHeight="1" s="45"/>
    <row r="588" ht="15.75" customHeight="1" s="45"/>
    <row r="589" ht="15.75" customHeight="1" s="45"/>
    <row r="590" ht="15.75" customHeight="1" s="45"/>
    <row r="591" ht="15.75" customHeight="1" s="45"/>
    <row r="592" ht="15.75" customHeight="1" s="45"/>
    <row r="593" ht="15.75" customHeight="1" s="45"/>
    <row r="594" ht="15.75" customHeight="1" s="45"/>
    <row r="595" ht="15.75" customHeight="1" s="45"/>
    <row r="596" ht="15.75" customHeight="1" s="45"/>
    <row r="597" ht="15.75" customHeight="1" s="45"/>
    <row r="598" ht="15.75" customHeight="1" s="45"/>
    <row r="599" ht="15.75" customHeight="1" s="45"/>
    <row r="600" ht="15.75" customHeight="1" s="45"/>
    <row r="601" ht="15.75" customHeight="1" s="45"/>
    <row r="602" ht="15.75" customHeight="1" s="45"/>
    <row r="603" ht="15.75" customHeight="1" s="45"/>
    <row r="604" ht="15.75" customHeight="1" s="45"/>
    <row r="605" ht="15.75" customHeight="1" s="45"/>
    <row r="606" ht="15.75" customHeight="1" s="45"/>
    <row r="607" ht="15.75" customHeight="1" s="45"/>
    <row r="608" ht="15.75" customHeight="1" s="45"/>
    <row r="609" ht="15.75" customHeight="1" s="45"/>
    <row r="610" ht="15.75" customHeight="1" s="45"/>
    <row r="611" ht="15.75" customHeight="1" s="45"/>
    <row r="612" ht="15.75" customHeight="1" s="45"/>
    <row r="613" ht="15.75" customHeight="1" s="45"/>
    <row r="614" ht="15.75" customHeight="1" s="45"/>
    <row r="615" ht="15.75" customHeight="1" s="45"/>
    <row r="616" ht="15.75" customHeight="1" s="45"/>
    <row r="617" ht="15.75" customHeight="1" s="45"/>
    <row r="618" ht="15.75" customHeight="1" s="45"/>
    <row r="619" ht="15.75" customHeight="1" s="45"/>
    <row r="620" ht="15.75" customHeight="1" s="45"/>
    <row r="621" ht="15.75" customHeight="1" s="45"/>
    <row r="622" ht="15.75" customHeight="1" s="45"/>
    <row r="623" ht="15.75" customHeight="1" s="45"/>
    <row r="624" ht="15.75" customHeight="1" s="45"/>
    <row r="625" ht="15.75" customHeight="1" s="45"/>
    <row r="626" ht="15.75" customHeight="1" s="45"/>
    <row r="627" ht="15.75" customHeight="1" s="45"/>
    <row r="628" ht="15.75" customHeight="1" s="45"/>
    <row r="629" ht="15.75" customHeight="1" s="45"/>
    <row r="630" ht="15.75" customHeight="1" s="45"/>
    <row r="631" ht="15.75" customHeight="1" s="45"/>
    <row r="632" ht="15.75" customHeight="1" s="45"/>
    <row r="633" ht="15.75" customHeight="1" s="45"/>
    <row r="634" ht="15.75" customHeight="1" s="45"/>
    <row r="635" ht="15.75" customHeight="1" s="45"/>
    <row r="636" ht="15.75" customHeight="1" s="45"/>
    <row r="637" ht="15.75" customHeight="1" s="45"/>
    <row r="638" ht="15.75" customHeight="1" s="45"/>
    <row r="639" ht="15.75" customHeight="1" s="45"/>
    <row r="640" ht="15.75" customHeight="1" s="45"/>
    <row r="641" ht="15.75" customHeight="1" s="45"/>
    <row r="642" ht="15.75" customHeight="1" s="45"/>
    <row r="643" ht="15.75" customHeight="1" s="45"/>
    <row r="644" ht="15.75" customHeight="1" s="45"/>
    <row r="645" ht="15.75" customHeight="1" s="45"/>
    <row r="646" ht="15.75" customHeight="1" s="45"/>
    <row r="647" ht="15.75" customHeight="1" s="45"/>
    <row r="648" ht="15.75" customHeight="1" s="45"/>
    <row r="649" ht="15.75" customHeight="1" s="45"/>
    <row r="650" ht="15.75" customHeight="1" s="45"/>
    <row r="651" ht="15.75" customHeight="1" s="45"/>
    <row r="652" ht="15.75" customHeight="1" s="45"/>
    <row r="653" ht="15.75" customHeight="1" s="45"/>
    <row r="654" ht="15.75" customHeight="1" s="45"/>
    <row r="655" ht="15.75" customHeight="1" s="45"/>
    <row r="656" ht="15.75" customHeight="1" s="45"/>
    <row r="657" ht="15.75" customHeight="1" s="45"/>
    <row r="658" ht="15.75" customHeight="1" s="45"/>
    <row r="659" ht="15.75" customHeight="1" s="45"/>
    <row r="660" ht="15.75" customHeight="1" s="45"/>
    <row r="661" ht="15.75" customHeight="1" s="45"/>
    <row r="662" ht="15.75" customHeight="1" s="45"/>
    <row r="663" ht="15.75" customHeight="1" s="45"/>
    <row r="664" ht="15.75" customHeight="1" s="45"/>
    <row r="665" ht="15.75" customHeight="1" s="45"/>
    <row r="666" ht="15.75" customHeight="1" s="45"/>
    <row r="667" ht="15.75" customHeight="1" s="45"/>
    <row r="668" ht="15.75" customHeight="1" s="45"/>
    <row r="669" ht="15.75" customHeight="1" s="45"/>
    <row r="670" ht="15.75" customHeight="1" s="45"/>
    <row r="671" ht="15.75" customHeight="1" s="45"/>
    <row r="672" ht="15.75" customHeight="1" s="45"/>
    <row r="673" ht="15.75" customHeight="1" s="45"/>
    <row r="674" ht="15.75" customHeight="1" s="45"/>
    <row r="675" ht="15.75" customHeight="1" s="45"/>
    <row r="676" ht="15.75" customHeight="1" s="45"/>
    <row r="677" ht="15.75" customHeight="1" s="45"/>
    <row r="678" ht="15.75" customHeight="1" s="45"/>
    <row r="679" ht="15.75" customHeight="1" s="45"/>
    <row r="680" ht="15.75" customHeight="1" s="45"/>
    <row r="681" ht="15.75" customHeight="1" s="45"/>
    <row r="682" ht="15.75" customHeight="1" s="45"/>
    <row r="683" ht="15.75" customHeight="1" s="45"/>
    <row r="684" ht="15.75" customHeight="1" s="45"/>
    <row r="685" ht="15.75" customHeight="1" s="45"/>
    <row r="686" ht="15.75" customHeight="1" s="45"/>
    <row r="687" ht="15.75" customHeight="1" s="45"/>
    <row r="688" ht="15.75" customHeight="1" s="45"/>
    <row r="689" ht="15.75" customHeight="1" s="45"/>
    <row r="690" ht="15.75" customHeight="1" s="45"/>
    <row r="691" ht="15.75" customHeight="1" s="45"/>
    <row r="692" ht="15.75" customHeight="1" s="45"/>
    <row r="693" ht="15.75" customHeight="1" s="45"/>
    <row r="694" ht="15.75" customHeight="1" s="45"/>
    <row r="695" ht="15.75" customHeight="1" s="45"/>
    <row r="696" ht="15.75" customHeight="1" s="45"/>
    <row r="697" ht="15.75" customHeight="1" s="45"/>
    <row r="698" ht="15.75" customHeight="1" s="45"/>
    <row r="699" ht="15.75" customHeight="1" s="45"/>
    <row r="700" ht="15.75" customHeight="1" s="45"/>
    <row r="701" ht="15.75" customHeight="1" s="45"/>
    <row r="702" ht="15.75" customHeight="1" s="45"/>
    <row r="703" ht="15.75" customHeight="1" s="45"/>
    <row r="704" ht="15.75" customHeight="1" s="45"/>
    <row r="705" ht="15.75" customHeight="1" s="45"/>
    <row r="706" ht="15.75" customHeight="1" s="45"/>
    <row r="707" ht="15.75" customHeight="1" s="45"/>
    <row r="708" ht="15.75" customHeight="1" s="45"/>
    <row r="709" ht="15.75" customHeight="1" s="45"/>
    <row r="710" ht="15.75" customHeight="1" s="45"/>
    <row r="711" ht="15.75" customHeight="1" s="45"/>
    <row r="712" ht="15.75" customHeight="1" s="45"/>
    <row r="713" ht="15.75" customHeight="1" s="45"/>
    <row r="714" ht="15.75" customHeight="1" s="45"/>
    <row r="715" ht="15.75" customHeight="1" s="45"/>
    <row r="716" ht="15.75" customHeight="1" s="45"/>
    <row r="717" ht="15.75" customHeight="1" s="45"/>
    <row r="718" ht="15.75" customHeight="1" s="45"/>
    <row r="719" ht="15.75" customHeight="1" s="45"/>
    <row r="720" ht="15.75" customHeight="1" s="45"/>
    <row r="721" ht="15.75" customHeight="1" s="45"/>
    <row r="722" ht="15.75" customHeight="1" s="45"/>
    <row r="723" ht="15.75" customHeight="1" s="45"/>
    <row r="724" ht="15.75" customHeight="1" s="45"/>
    <row r="725" ht="15.75" customHeight="1" s="45"/>
    <row r="726" ht="15.75" customHeight="1" s="45"/>
    <row r="727" ht="15.75" customHeight="1" s="45"/>
    <row r="728" ht="15.75" customHeight="1" s="45"/>
    <row r="729" ht="15.75" customHeight="1" s="45"/>
    <row r="730" ht="15.75" customHeight="1" s="45"/>
    <row r="731" ht="15.75" customHeight="1" s="45"/>
    <row r="732" ht="15.75" customHeight="1" s="45"/>
    <row r="733" ht="15.75" customHeight="1" s="45"/>
    <row r="734" ht="15.75" customHeight="1" s="45"/>
    <row r="735" ht="15.75" customHeight="1" s="45"/>
    <row r="736" ht="15.75" customHeight="1" s="45"/>
    <row r="737" ht="15.75" customHeight="1" s="45"/>
    <row r="738" ht="15.75" customHeight="1" s="45"/>
    <row r="739" ht="15.75" customHeight="1" s="45"/>
    <row r="740" ht="15.75" customHeight="1" s="45"/>
    <row r="741" ht="15.75" customHeight="1" s="45"/>
    <row r="742" ht="15.75" customHeight="1" s="45"/>
    <row r="743" ht="15.75" customHeight="1" s="45"/>
    <row r="744" ht="15.75" customHeight="1" s="45"/>
    <row r="745" ht="15.75" customHeight="1" s="45"/>
    <row r="746" ht="15.75" customHeight="1" s="45"/>
    <row r="747" ht="15.75" customHeight="1" s="45"/>
    <row r="748" ht="15.75" customHeight="1" s="45"/>
    <row r="749" ht="15.75" customHeight="1" s="45"/>
    <row r="750" ht="15.75" customHeight="1" s="45"/>
    <row r="751" ht="15.75" customHeight="1" s="45"/>
    <row r="752" ht="15.75" customHeight="1" s="45"/>
    <row r="753" ht="15.75" customHeight="1" s="45"/>
    <row r="754" ht="15.75" customHeight="1" s="45"/>
    <row r="755" ht="15.75" customHeight="1" s="45"/>
    <row r="756" ht="15.75" customHeight="1" s="45"/>
    <row r="757" ht="15.75" customHeight="1" s="45"/>
    <row r="758" ht="15.75" customHeight="1" s="45"/>
    <row r="759" ht="15.75" customHeight="1" s="45"/>
    <row r="760" ht="15.75" customHeight="1" s="45"/>
    <row r="761" ht="15.75" customHeight="1" s="45"/>
    <row r="762" ht="15.75" customHeight="1" s="45"/>
    <row r="763" ht="15.75" customHeight="1" s="45"/>
    <row r="764" ht="15.75" customHeight="1" s="45"/>
    <row r="765" ht="15.75" customHeight="1" s="45"/>
    <row r="766" ht="15.75" customHeight="1" s="45"/>
    <row r="767" ht="15.75" customHeight="1" s="45"/>
    <row r="768" ht="15.75" customHeight="1" s="45"/>
    <row r="769" ht="15.75" customHeight="1" s="45"/>
    <row r="770" ht="15.75" customHeight="1" s="45"/>
    <row r="771" ht="15.75" customHeight="1" s="45"/>
    <row r="772" ht="15.75" customHeight="1" s="45"/>
    <row r="773" ht="15.75" customHeight="1" s="45"/>
    <row r="774" ht="15.75" customHeight="1" s="45"/>
    <row r="775" ht="15.75" customHeight="1" s="45"/>
    <row r="776" ht="15.75" customHeight="1" s="45"/>
    <row r="777" ht="15.75" customHeight="1" s="45"/>
    <row r="778" ht="15.75" customHeight="1" s="45"/>
    <row r="779" ht="15.75" customHeight="1" s="45"/>
    <row r="780" ht="15.75" customHeight="1" s="45"/>
    <row r="781" ht="15.75" customHeight="1" s="45"/>
    <row r="782" ht="15.75" customHeight="1" s="45"/>
    <row r="783" ht="15.75" customHeight="1" s="45"/>
    <row r="784" ht="15.75" customHeight="1" s="45"/>
    <row r="785" ht="15.75" customHeight="1" s="45"/>
    <row r="786" ht="15.75" customHeight="1" s="45"/>
    <row r="787" ht="15.75" customHeight="1" s="45"/>
    <row r="788" ht="15.75" customHeight="1" s="45"/>
    <row r="789" ht="15.75" customHeight="1" s="45"/>
    <row r="790" ht="15.75" customHeight="1" s="45"/>
    <row r="791" ht="15.75" customHeight="1" s="45"/>
    <row r="792" ht="15.75" customHeight="1" s="45"/>
    <row r="793" ht="15.75" customHeight="1" s="45"/>
    <row r="794" ht="15.75" customHeight="1" s="45"/>
    <row r="795" ht="15.75" customHeight="1" s="45"/>
    <row r="796" ht="15.75" customHeight="1" s="45"/>
    <row r="797" ht="15.75" customHeight="1" s="45"/>
    <row r="798" ht="15.75" customHeight="1" s="45"/>
    <row r="799" ht="15.75" customHeight="1" s="45"/>
    <row r="800" ht="15.75" customHeight="1" s="45"/>
    <row r="801" ht="15.75" customHeight="1" s="45"/>
    <row r="802" ht="15.75" customHeight="1" s="45"/>
    <row r="803" ht="15.75" customHeight="1" s="45"/>
    <row r="804" ht="15.75" customHeight="1" s="45"/>
    <row r="805" ht="15.75" customHeight="1" s="45"/>
    <row r="806" ht="15.75" customHeight="1" s="45"/>
    <row r="807" ht="15.75" customHeight="1" s="45"/>
    <row r="808" ht="15.75" customHeight="1" s="45"/>
    <row r="809" ht="15.75" customHeight="1" s="45"/>
    <row r="810" ht="15.75" customHeight="1" s="45"/>
    <row r="811" ht="15.75" customHeight="1" s="45"/>
    <row r="812" ht="15.75" customHeight="1" s="45"/>
    <row r="813" ht="15.75" customHeight="1" s="45"/>
    <row r="814" ht="15.75" customHeight="1" s="45"/>
    <row r="815" ht="15.75" customHeight="1" s="45"/>
    <row r="816" ht="15.75" customHeight="1" s="45"/>
    <row r="817" ht="15.75" customHeight="1" s="45"/>
    <row r="818" ht="15.75" customHeight="1" s="45"/>
    <row r="819" ht="15.75" customHeight="1" s="45"/>
    <row r="820" ht="15.75" customHeight="1" s="45"/>
    <row r="821" ht="15.75" customHeight="1" s="45"/>
    <row r="822" ht="15.75" customHeight="1" s="45"/>
    <row r="823" ht="15.75" customHeight="1" s="45"/>
    <row r="824" ht="15.75" customHeight="1" s="45"/>
    <row r="825" ht="15.75" customHeight="1" s="45"/>
    <row r="826" ht="15.75" customHeight="1" s="45"/>
    <row r="827" ht="15.75" customHeight="1" s="45"/>
    <row r="828" ht="15.75" customHeight="1" s="45"/>
    <row r="829" ht="15.75" customHeight="1" s="45"/>
    <row r="830" ht="15.75" customHeight="1" s="45"/>
    <row r="831" ht="15.75" customHeight="1" s="45"/>
    <row r="832" ht="15.75" customHeight="1" s="45"/>
    <row r="833" ht="15.75" customHeight="1" s="45"/>
    <row r="834" ht="15.75" customHeight="1" s="45"/>
    <row r="835" ht="15.75" customHeight="1" s="45"/>
    <row r="836" ht="15.75" customHeight="1" s="45"/>
    <row r="837" ht="15.75" customHeight="1" s="45"/>
    <row r="838" ht="15.75" customHeight="1" s="45"/>
    <row r="839" ht="15.75" customHeight="1" s="45"/>
    <row r="840" ht="15.75" customHeight="1" s="45"/>
    <row r="841" ht="15.75" customHeight="1" s="45"/>
    <row r="842" ht="15.75" customHeight="1" s="45"/>
    <row r="843" ht="15.75" customHeight="1" s="45"/>
    <row r="844" ht="15.75" customHeight="1" s="45"/>
    <row r="845" ht="15.75" customHeight="1" s="45"/>
    <row r="846" ht="15.75" customHeight="1" s="45"/>
    <row r="847" ht="15.75" customHeight="1" s="45"/>
    <row r="848" ht="15.75" customHeight="1" s="45"/>
    <row r="849" ht="15.75" customHeight="1" s="45"/>
    <row r="850" ht="15.75" customHeight="1" s="45"/>
    <row r="851" ht="15.75" customHeight="1" s="45"/>
    <row r="852" ht="15.75" customHeight="1" s="45"/>
    <row r="853" ht="15.75" customHeight="1" s="45"/>
    <row r="854" ht="15.75" customHeight="1" s="45"/>
    <row r="855" ht="15.75" customHeight="1" s="45"/>
    <row r="856" ht="15.75" customHeight="1" s="45"/>
    <row r="857" ht="15.75" customHeight="1" s="45"/>
    <row r="858" ht="15.75" customHeight="1" s="45"/>
    <row r="859" ht="15.75" customHeight="1" s="45"/>
    <row r="860" ht="15.75" customHeight="1" s="45"/>
    <row r="861" ht="15.75" customHeight="1" s="45"/>
    <row r="862" ht="15.75" customHeight="1" s="45"/>
    <row r="863" ht="15.75" customHeight="1" s="45"/>
    <row r="864" ht="15.75" customHeight="1" s="45"/>
    <row r="865" ht="15.75" customHeight="1" s="45"/>
    <row r="866" ht="15.75" customHeight="1" s="45"/>
    <row r="867" ht="15.75" customHeight="1" s="45"/>
    <row r="868" ht="15.75" customHeight="1" s="45"/>
    <row r="869" ht="15.75" customHeight="1" s="45"/>
    <row r="870" ht="15.75" customHeight="1" s="45"/>
    <row r="871" ht="15.75" customHeight="1" s="45"/>
    <row r="872" ht="15.75" customHeight="1" s="45"/>
    <row r="873" ht="15.75" customHeight="1" s="45"/>
    <row r="874" ht="15.75" customHeight="1" s="45"/>
    <row r="875" ht="15.75" customHeight="1" s="45"/>
    <row r="876" ht="15.75" customHeight="1" s="45"/>
    <row r="877" ht="15.75" customHeight="1" s="45"/>
    <row r="878" ht="15.75" customHeight="1" s="45"/>
    <row r="879" ht="15.75" customHeight="1" s="45"/>
    <row r="880" ht="15.75" customHeight="1" s="45"/>
    <row r="881" ht="15.75" customHeight="1" s="45"/>
    <row r="882" ht="15.75" customHeight="1" s="45"/>
    <row r="883" ht="15.75" customHeight="1" s="45"/>
    <row r="884" ht="15.75" customHeight="1" s="45"/>
    <row r="885" ht="15.75" customHeight="1" s="45"/>
    <row r="886" ht="15.75" customHeight="1" s="45"/>
    <row r="887" ht="15.75" customHeight="1" s="45"/>
    <row r="888" ht="15.75" customHeight="1" s="45"/>
    <row r="889" ht="15.75" customHeight="1" s="45"/>
    <row r="890" ht="15.75" customHeight="1" s="45"/>
    <row r="891" ht="15.75" customHeight="1" s="45"/>
    <row r="892" ht="15.75" customHeight="1" s="45"/>
    <row r="893" ht="15.75" customHeight="1" s="45"/>
    <row r="894" ht="15.75" customHeight="1" s="45"/>
    <row r="895" ht="15.75" customHeight="1" s="45"/>
    <row r="896" ht="15.75" customHeight="1" s="45"/>
    <row r="897" ht="15.75" customHeight="1" s="45"/>
    <row r="898" ht="15.75" customHeight="1" s="45"/>
    <row r="899" ht="15.75" customHeight="1" s="45"/>
    <row r="900" ht="15.75" customHeight="1" s="45"/>
    <row r="901" ht="15.75" customHeight="1" s="45"/>
    <row r="902" ht="15.75" customHeight="1" s="45"/>
    <row r="903" ht="15.75" customHeight="1" s="45"/>
    <row r="904" ht="15.75" customHeight="1" s="45"/>
    <row r="905" ht="15.75" customHeight="1" s="45"/>
    <row r="906" ht="15.75" customHeight="1" s="45"/>
    <row r="907" ht="15.75" customHeight="1" s="45"/>
    <row r="908" ht="15.75" customHeight="1" s="45"/>
    <row r="909" ht="15.75" customHeight="1" s="45"/>
    <row r="910" ht="15.75" customHeight="1" s="45"/>
    <row r="911" ht="15.75" customHeight="1" s="45"/>
    <row r="912" ht="15.75" customHeight="1" s="45"/>
    <row r="913" ht="15.75" customHeight="1" s="45"/>
    <row r="914" ht="15.75" customHeight="1" s="45"/>
    <row r="915" ht="15.75" customHeight="1" s="45"/>
    <row r="916" ht="15.75" customHeight="1" s="45"/>
    <row r="917" ht="15.75" customHeight="1" s="45"/>
    <row r="918" ht="15.75" customHeight="1" s="45"/>
    <row r="919" ht="15.75" customHeight="1" s="45"/>
    <row r="920" ht="15.75" customHeight="1" s="45"/>
    <row r="921" ht="15.75" customHeight="1" s="45"/>
    <row r="922" ht="15.75" customHeight="1" s="45"/>
    <row r="923" ht="15.75" customHeight="1" s="45"/>
    <row r="924" ht="15.75" customHeight="1" s="45"/>
    <row r="925" ht="15.75" customHeight="1" s="45"/>
    <row r="926" ht="15.75" customHeight="1" s="45"/>
    <row r="927" ht="15.75" customHeight="1" s="45"/>
    <row r="928" ht="15.75" customHeight="1" s="45"/>
    <row r="929" ht="15.75" customHeight="1" s="45"/>
    <row r="930" ht="15.75" customHeight="1" s="45"/>
    <row r="931" ht="15.75" customHeight="1" s="45"/>
    <row r="932" ht="15.75" customHeight="1" s="45"/>
    <row r="933" ht="15.75" customHeight="1" s="45"/>
    <row r="934" ht="15.75" customHeight="1" s="45"/>
    <row r="935" ht="15.75" customHeight="1" s="45"/>
    <row r="936" ht="15.75" customHeight="1" s="45"/>
    <row r="937" ht="15.75" customHeight="1" s="45"/>
    <row r="938" ht="15.75" customHeight="1" s="45"/>
    <row r="939" ht="15.75" customHeight="1" s="45"/>
    <row r="940" ht="15.75" customHeight="1" s="45"/>
    <row r="941" ht="15.75" customHeight="1" s="45"/>
    <row r="942" ht="15.75" customHeight="1" s="45"/>
    <row r="943" ht="15.75" customHeight="1" s="45"/>
    <row r="944" ht="15.75" customHeight="1" s="45"/>
    <row r="945" ht="15.75" customHeight="1" s="45"/>
    <row r="946" ht="15.75" customHeight="1" s="45"/>
    <row r="947" ht="15.75" customHeight="1" s="45"/>
    <row r="948" ht="15.75" customHeight="1" s="45"/>
    <row r="949" ht="15.75" customHeight="1" s="45"/>
    <row r="950" ht="15.75" customHeight="1" s="45"/>
    <row r="951" ht="15.75" customHeight="1" s="45"/>
    <row r="952" ht="15.75" customHeight="1" s="45"/>
    <row r="953" ht="15.75" customHeight="1" s="45"/>
    <row r="954" ht="15.75" customHeight="1" s="45"/>
    <row r="955" ht="15.75" customHeight="1" s="45"/>
    <row r="956" ht="15.75" customHeight="1" s="45"/>
    <row r="957" ht="15.75" customHeight="1" s="45"/>
    <row r="958" ht="15.75" customHeight="1" s="45"/>
    <row r="959" ht="15.75" customHeight="1" s="45"/>
    <row r="960" ht="15.75" customHeight="1" s="45"/>
    <row r="961" ht="15.75" customHeight="1" s="45"/>
    <row r="962" ht="15.75" customHeight="1" s="45"/>
    <row r="963" ht="15.75" customHeight="1" s="45"/>
    <row r="964" ht="15.75" customHeight="1" s="45"/>
    <row r="965" ht="15.75" customHeight="1" s="45"/>
    <row r="966" ht="15.75" customHeight="1" s="45"/>
    <row r="967" ht="15.75" customHeight="1" s="45"/>
    <row r="968" ht="15.75" customHeight="1" s="45"/>
    <row r="969" ht="15.75" customHeight="1" s="45"/>
    <row r="970" ht="15.75" customHeight="1" s="45"/>
    <row r="971" ht="15.75" customHeight="1" s="45"/>
    <row r="972" ht="15.75" customHeight="1" s="45"/>
    <row r="973" ht="15.75" customHeight="1" s="45"/>
    <row r="974" ht="15.75" customHeight="1" s="45"/>
    <row r="975" ht="15.75" customHeight="1" s="45"/>
    <row r="976" ht="15.75" customHeight="1" s="45"/>
    <row r="977" ht="15.75" customHeight="1" s="45"/>
    <row r="978" ht="15.75" customHeight="1" s="45"/>
    <row r="979" ht="15.75" customHeight="1" s="45"/>
    <row r="980" ht="15.75" customHeight="1" s="45"/>
    <row r="981" ht="15.75" customHeight="1" s="45"/>
    <row r="982" ht="15.75" customHeight="1" s="45"/>
    <row r="983" ht="15.75" customHeight="1" s="45"/>
    <row r="984" ht="15.75" customHeight="1" s="45"/>
    <row r="985" ht="15.75" customHeight="1" s="45"/>
    <row r="986" ht="15.75" customHeight="1" s="45"/>
    <row r="987" ht="15.75" customHeight="1" s="45"/>
    <row r="988" ht="15.75" customHeight="1" s="45"/>
    <row r="989" ht="15.75" customHeight="1" s="45"/>
    <row r="990" ht="15.75" customHeight="1" s="45"/>
    <row r="991" ht="15.75" customHeight="1" s="45"/>
    <row r="992" ht="15.75" customHeight="1" s="45"/>
    <row r="993" ht="15.75" customHeight="1" s="45"/>
    <row r="994" ht="15.75" customHeight="1" s="45"/>
    <row r="995" ht="15.75" customHeight="1" s="45"/>
    <row r="996" ht="15.75" customHeight="1" s="45"/>
    <row r="997" ht="15.75" customHeight="1" s="45"/>
    <row r="998" ht="15.75" customHeight="1" s="45"/>
    <row r="999" ht="15.75" customHeight="1" s="45"/>
    <row r="1000" ht="15.75" customHeight="1" s="45"/>
  </sheetData>
  <pageMargins left="0.75" right="0.75" top="1" bottom="1" header="0" footer="0"/>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2026-08-26T15:07:08Z</dcterms:created>
  <dcterms:modified xmlns:dcterms="http://purl.org/dc/terms/" xmlns:xsi="http://www.w3.org/2001/XMLSchema-instance" xsi:type="dcterms:W3CDTF">2026-10-08T17:48:28Z</dcterms:modified>
</cp:coreProperties>
</file>